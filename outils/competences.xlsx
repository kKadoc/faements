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227"/>
  <workbookPr filterPrivacy="1"/>
  <xr:revisionPtr revIDLastSave="0" documentId="13_ncr:1_{58193A5B-42C7-4DBC-88E6-3DF47D7ECC4E}" xr6:coauthVersionLast="47" xr6:coauthVersionMax="47" xr10:uidLastSave="{00000000-0000-0000-0000-000000000000}"/>
  <bookViews>
    <workbookView xWindow="-120" yWindow="-120" windowWidth="25440" windowHeight="15390" xr2:uid="{00000000-000D-0000-FFFF-FFFF00000000}"/>
  </bookViews>
  <sheets>
    <sheet name="Feuil1" sheetId="1" r:id="rId1"/>
    <sheet name="Feuil2" sheetId="2" r:id="rId2"/>
  </sheets>
  <definedNames>
    <definedName name="profils">Feuil2!$F$3:$F$7</definedName>
    <definedName name="seuil_apprentissage">Tableau2[Niveau]</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97" i="1" l="1"/>
  <c r="N97" i="1"/>
  <c r="R97" i="1"/>
  <c r="T97" i="1"/>
  <c r="U97" i="1"/>
  <c r="V97" i="1"/>
  <c r="W97" i="1"/>
  <c r="Y97" i="1"/>
  <c r="Z97" i="1"/>
  <c r="AA97" i="1"/>
  <c r="AB97" i="1"/>
  <c r="AD97" i="1"/>
  <c r="E96" i="1"/>
  <c r="N96" i="1"/>
  <c r="R96" i="1"/>
  <c r="T96" i="1"/>
  <c r="U96" i="1"/>
  <c r="V96" i="1"/>
  <c r="W96" i="1"/>
  <c r="Y96" i="1"/>
  <c r="Z96" i="1"/>
  <c r="AA96" i="1"/>
  <c r="AB96" i="1"/>
  <c r="AD96" i="1"/>
  <c r="E95" i="1"/>
  <c r="W95" i="1" s="1"/>
  <c r="N95" i="1"/>
  <c r="R95" i="1"/>
  <c r="T95" i="1"/>
  <c r="U95" i="1"/>
  <c r="V95" i="1"/>
  <c r="Y95" i="1"/>
  <c r="Z95" i="1"/>
  <c r="AA95" i="1"/>
  <c r="AB95" i="1"/>
  <c r="AD95" i="1"/>
  <c r="E49" i="1"/>
  <c r="W49" i="1" s="1"/>
  <c r="N49" i="1"/>
  <c r="R49" i="1"/>
  <c r="T49" i="1"/>
  <c r="U49" i="1"/>
  <c r="V49" i="1"/>
  <c r="Y49" i="1"/>
  <c r="Z49" i="1"/>
  <c r="AA49" i="1"/>
  <c r="AB49" i="1"/>
  <c r="AD49" i="1"/>
  <c r="E48" i="1"/>
  <c r="W48" i="1" s="1"/>
  <c r="N48" i="1"/>
  <c r="R48" i="1"/>
  <c r="T48" i="1"/>
  <c r="U48" i="1"/>
  <c r="V48" i="1"/>
  <c r="Y48" i="1"/>
  <c r="Z48" i="1"/>
  <c r="AA48" i="1"/>
  <c r="AB48" i="1"/>
  <c r="AD48" i="1"/>
  <c r="E94" i="1"/>
  <c r="W94" i="1" s="1"/>
  <c r="N94" i="1"/>
  <c r="V94" i="1" s="1"/>
  <c r="R94" i="1"/>
  <c r="T94" i="1"/>
  <c r="U94" i="1"/>
  <c r="Y94" i="1"/>
  <c r="Z94" i="1"/>
  <c r="AA94" i="1"/>
  <c r="AB94" i="1"/>
  <c r="AD94" i="1"/>
  <c r="E93" i="1"/>
  <c r="W93" i="1" s="1"/>
  <c r="N93" i="1"/>
  <c r="R93" i="1"/>
  <c r="T93" i="1"/>
  <c r="U93" i="1"/>
  <c r="V93" i="1"/>
  <c r="Y93" i="1"/>
  <c r="Z93" i="1"/>
  <c r="AA93" i="1"/>
  <c r="AB93" i="1"/>
  <c r="AD93" i="1"/>
  <c r="E92" i="1"/>
  <c r="W92" i="1" s="1"/>
  <c r="N92" i="1"/>
  <c r="R92" i="1"/>
  <c r="T92" i="1"/>
  <c r="U92" i="1"/>
  <c r="V92" i="1"/>
  <c r="Y92" i="1"/>
  <c r="Z92" i="1"/>
  <c r="AA92" i="1"/>
  <c r="AB92" i="1"/>
  <c r="AD92" i="1"/>
  <c r="E91" i="1"/>
  <c r="W91" i="1" s="1"/>
  <c r="N91" i="1"/>
  <c r="R91" i="1"/>
  <c r="T91" i="1"/>
  <c r="U91" i="1"/>
  <c r="V91" i="1"/>
  <c r="Y91" i="1"/>
  <c r="Z91" i="1"/>
  <c r="AA91" i="1"/>
  <c r="AB91" i="1"/>
  <c r="AD91" i="1"/>
  <c r="E90" i="1"/>
  <c r="W90" i="1" s="1"/>
  <c r="N90" i="1"/>
  <c r="V90" i="1" s="1"/>
  <c r="R90" i="1"/>
  <c r="T90" i="1"/>
  <c r="U90" i="1"/>
  <c r="Y90" i="1"/>
  <c r="Z90" i="1"/>
  <c r="AA90" i="1"/>
  <c r="AB90" i="1"/>
  <c r="AD90" i="1"/>
  <c r="E89" i="1"/>
  <c r="W89" i="1" s="1"/>
  <c r="N89" i="1"/>
  <c r="R89" i="1"/>
  <c r="T89" i="1"/>
  <c r="U89" i="1"/>
  <c r="V89" i="1"/>
  <c r="Y89" i="1"/>
  <c r="Z89" i="1"/>
  <c r="AA89" i="1"/>
  <c r="AB89" i="1"/>
  <c r="AD89" i="1"/>
  <c r="E88" i="1"/>
  <c r="W88" i="1" s="1"/>
  <c r="N88" i="1"/>
  <c r="V88" i="1" s="1"/>
  <c r="R88" i="1"/>
  <c r="T88" i="1"/>
  <c r="U88" i="1"/>
  <c r="Y88" i="1"/>
  <c r="Z88" i="1"/>
  <c r="AA88" i="1"/>
  <c r="AB88" i="1"/>
  <c r="AD88" i="1"/>
  <c r="E79" i="1"/>
  <c r="W79" i="1" s="1"/>
  <c r="N79" i="1"/>
  <c r="V79" i="1" s="1"/>
  <c r="R79" i="1"/>
  <c r="T79" i="1"/>
  <c r="U79" i="1"/>
  <c r="Y79" i="1"/>
  <c r="Z79" i="1"/>
  <c r="AA79" i="1"/>
  <c r="AB79" i="1"/>
  <c r="AD79" i="1"/>
  <c r="E21" i="1"/>
  <c r="N21" i="1"/>
  <c r="R21" i="1"/>
  <c r="T21" i="1"/>
  <c r="U21" i="1"/>
  <c r="V21" i="1"/>
  <c r="W21" i="1"/>
  <c r="Y21" i="1"/>
  <c r="Z21" i="1"/>
  <c r="AA21" i="1"/>
  <c r="AB21" i="1"/>
  <c r="AD21" i="1"/>
  <c r="AG21" i="1"/>
  <c r="E87" i="1"/>
  <c r="W87" i="1" s="1"/>
  <c r="N87" i="1"/>
  <c r="V87" i="1" s="1"/>
  <c r="R87" i="1"/>
  <c r="T87" i="1"/>
  <c r="U87" i="1"/>
  <c r="Y87" i="1"/>
  <c r="Z87" i="1"/>
  <c r="AA87" i="1"/>
  <c r="AB87" i="1"/>
  <c r="AD87" i="1"/>
  <c r="E86" i="1"/>
  <c r="W86" i="1" s="1"/>
  <c r="N86" i="1"/>
  <c r="V86" i="1" s="1"/>
  <c r="R86" i="1"/>
  <c r="T86" i="1"/>
  <c r="U86" i="1"/>
  <c r="Y86" i="1"/>
  <c r="Z86" i="1"/>
  <c r="AA86" i="1"/>
  <c r="AB86" i="1"/>
  <c r="AD86" i="1"/>
  <c r="E85" i="1"/>
  <c r="W85" i="1" s="1"/>
  <c r="N85" i="1"/>
  <c r="V85" i="1" s="1"/>
  <c r="R85" i="1"/>
  <c r="T85" i="1"/>
  <c r="U85" i="1"/>
  <c r="Y85" i="1"/>
  <c r="Z85" i="1"/>
  <c r="AA85" i="1"/>
  <c r="AB85" i="1"/>
  <c r="AD85" i="1"/>
  <c r="E84" i="1"/>
  <c r="W84" i="1" s="1"/>
  <c r="N84" i="1"/>
  <c r="R84" i="1"/>
  <c r="T84" i="1"/>
  <c r="U84" i="1"/>
  <c r="V84" i="1"/>
  <c r="Y84" i="1"/>
  <c r="Z84" i="1"/>
  <c r="AA84" i="1"/>
  <c r="AB84" i="1"/>
  <c r="AD84" i="1"/>
  <c r="E28" i="1"/>
  <c r="W28" i="1" s="1"/>
  <c r="N28" i="1"/>
  <c r="R28" i="1"/>
  <c r="T28" i="1"/>
  <c r="U28" i="1"/>
  <c r="V28" i="1"/>
  <c r="Y28" i="1"/>
  <c r="Z28" i="1"/>
  <c r="AA28" i="1"/>
  <c r="AB28" i="1"/>
  <c r="AD28" i="1"/>
  <c r="E27" i="1"/>
  <c r="W27" i="1" s="1"/>
  <c r="N27" i="1"/>
  <c r="V27" i="1" s="1"/>
  <c r="R27" i="1"/>
  <c r="T27" i="1"/>
  <c r="U27" i="1"/>
  <c r="Y27" i="1"/>
  <c r="Z27" i="1"/>
  <c r="AA27" i="1"/>
  <c r="AB27" i="1"/>
  <c r="AD27" i="1"/>
  <c r="E26" i="1"/>
  <c r="W26" i="1" s="1"/>
  <c r="N26" i="1"/>
  <c r="V26" i="1" s="1"/>
  <c r="R26" i="1"/>
  <c r="T26" i="1"/>
  <c r="U26" i="1"/>
  <c r="Y26" i="1"/>
  <c r="Z26" i="1"/>
  <c r="AA26" i="1"/>
  <c r="AB26" i="1"/>
  <c r="AD26" i="1"/>
  <c r="E83" i="1"/>
  <c r="W83" i="1" s="1"/>
  <c r="N83" i="1"/>
  <c r="V83" i="1" s="1"/>
  <c r="R83" i="1"/>
  <c r="T83" i="1"/>
  <c r="U83" i="1"/>
  <c r="Y83" i="1"/>
  <c r="Z83" i="1"/>
  <c r="AA83" i="1"/>
  <c r="AB83" i="1"/>
  <c r="AD83" i="1"/>
  <c r="E82" i="1"/>
  <c r="W82" i="1" s="1"/>
  <c r="N82" i="1"/>
  <c r="R82" i="1"/>
  <c r="T82" i="1"/>
  <c r="U82" i="1"/>
  <c r="V82" i="1"/>
  <c r="Y82" i="1"/>
  <c r="Z82" i="1"/>
  <c r="AA82" i="1"/>
  <c r="AB82" i="1"/>
  <c r="AD82" i="1"/>
  <c r="E81" i="1"/>
  <c r="W81" i="1" s="1"/>
  <c r="N81" i="1"/>
  <c r="V81" i="1" s="1"/>
  <c r="R81" i="1"/>
  <c r="T81" i="1"/>
  <c r="U81" i="1"/>
  <c r="Y81" i="1"/>
  <c r="Z81" i="1"/>
  <c r="AA81" i="1"/>
  <c r="AB81" i="1"/>
  <c r="AD81" i="1"/>
  <c r="E80" i="1"/>
  <c r="W80" i="1" s="1"/>
  <c r="N80" i="1"/>
  <c r="V80" i="1" s="1"/>
  <c r="R80" i="1"/>
  <c r="T80" i="1"/>
  <c r="U80" i="1"/>
  <c r="Y80" i="1"/>
  <c r="Z80" i="1"/>
  <c r="AA80" i="1"/>
  <c r="AB80" i="1"/>
  <c r="AD80" i="1"/>
  <c r="E43" i="1"/>
  <c r="N43" i="1"/>
  <c r="V43" i="1" s="1"/>
  <c r="R43" i="1"/>
  <c r="T43" i="1"/>
  <c r="U43" i="1"/>
  <c r="W43" i="1"/>
  <c r="Y43" i="1"/>
  <c r="Z43" i="1"/>
  <c r="AA43" i="1"/>
  <c r="AB43" i="1"/>
  <c r="AD43" i="1"/>
  <c r="E42" i="1"/>
  <c r="W42" i="1" s="1"/>
  <c r="N42" i="1"/>
  <c r="V42" i="1" s="1"/>
  <c r="R42" i="1"/>
  <c r="T42" i="1"/>
  <c r="U42" i="1"/>
  <c r="Y42" i="1"/>
  <c r="Z42" i="1"/>
  <c r="AA42" i="1"/>
  <c r="AB42" i="1"/>
  <c r="AD42" i="1"/>
  <c r="E78" i="1"/>
  <c r="W78" i="1" s="1"/>
  <c r="N78" i="1"/>
  <c r="R78" i="1"/>
  <c r="T78" i="1"/>
  <c r="U78" i="1"/>
  <c r="V78" i="1"/>
  <c r="Y78" i="1"/>
  <c r="Z78" i="1"/>
  <c r="AA78" i="1"/>
  <c r="AB78" i="1"/>
  <c r="AD78" i="1"/>
  <c r="E77" i="1"/>
  <c r="W77" i="1" s="1"/>
  <c r="N77" i="1"/>
  <c r="R77" i="1"/>
  <c r="T77" i="1"/>
  <c r="U77" i="1"/>
  <c r="V77" i="1"/>
  <c r="Y77" i="1"/>
  <c r="Z77" i="1"/>
  <c r="AA77" i="1"/>
  <c r="AB77" i="1"/>
  <c r="AD77" i="1"/>
  <c r="R3" i="1"/>
  <c r="T3" i="1"/>
  <c r="U3" i="1"/>
  <c r="W3" i="1"/>
  <c r="Y3" i="1"/>
  <c r="Z3" i="1"/>
  <c r="AA3" i="1"/>
  <c r="AB3" i="1"/>
  <c r="AD3" i="1"/>
  <c r="R4" i="1"/>
  <c r="T4" i="1"/>
  <c r="U4" i="1"/>
  <c r="Y4" i="1"/>
  <c r="Z4" i="1"/>
  <c r="AA4" i="1"/>
  <c r="AB4" i="1"/>
  <c r="AD4" i="1"/>
  <c r="R5" i="1"/>
  <c r="T5" i="1"/>
  <c r="U5" i="1"/>
  <c r="Y5" i="1"/>
  <c r="Z5" i="1"/>
  <c r="AA5" i="1"/>
  <c r="AB5" i="1"/>
  <c r="AD5" i="1"/>
  <c r="R6" i="1"/>
  <c r="T6" i="1"/>
  <c r="U6" i="1"/>
  <c r="Y6" i="1"/>
  <c r="Z6" i="1"/>
  <c r="AA6" i="1"/>
  <c r="AB6" i="1"/>
  <c r="AD6" i="1"/>
  <c r="R7" i="1"/>
  <c r="T7" i="1"/>
  <c r="U7" i="1"/>
  <c r="Y7" i="1"/>
  <c r="Z7" i="1"/>
  <c r="AA7" i="1"/>
  <c r="AB7" i="1"/>
  <c r="AD7" i="1"/>
  <c r="R8" i="1"/>
  <c r="T8" i="1"/>
  <c r="U8" i="1"/>
  <c r="W8" i="1"/>
  <c r="Y8" i="1"/>
  <c r="Z8" i="1"/>
  <c r="AA8" i="1"/>
  <c r="AB8" i="1"/>
  <c r="AD8" i="1"/>
  <c r="R9" i="1"/>
  <c r="T9" i="1"/>
  <c r="U9" i="1"/>
  <c r="Y9" i="1"/>
  <c r="Z9" i="1"/>
  <c r="AA9" i="1"/>
  <c r="AB9" i="1"/>
  <c r="AD9" i="1"/>
  <c r="R10" i="1"/>
  <c r="T10" i="1"/>
  <c r="U10" i="1"/>
  <c r="Y10" i="1"/>
  <c r="Z10" i="1"/>
  <c r="AA10" i="1"/>
  <c r="AB10" i="1"/>
  <c r="AD10" i="1"/>
  <c r="R11" i="1"/>
  <c r="T11" i="1"/>
  <c r="U11" i="1"/>
  <c r="Y11" i="1"/>
  <c r="Z11" i="1"/>
  <c r="AA11" i="1"/>
  <c r="AB11" i="1"/>
  <c r="AD11" i="1"/>
  <c r="R12" i="1"/>
  <c r="T12" i="1"/>
  <c r="U12" i="1"/>
  <c r="Y12" i="1"/>
  <c r="Z12" i="1"/>
  <c r="AA12" i="1"/>
  <c r="AB12" i="1"/>
  <c r="AD12" i="1"/>
  <c r="R13" i="1"/>
  <c r="T13" i="1"/>
  <c r="U13" i="1"/>
  <c r="W13" i="1"/>
  <c r="Y13" i="1"/>
  <c r="Z13" i="1"/>
  <c r="AA13" i="1"/>
  <c r="AB13" i="1"/>
  <c r="AD13" i="1"/>
  <c r="R14" i="1"/>
  <c r="T14" i="1"/>
  <c r="U14" i="1"/>
  <c r="Y14" i="1"/>
  <c r="Z14" i="1"/>
  <c r="AA14" i="1"/>
  <c r="AB14" i="1"/>
  <c r="AD14" i="1"/>
  <c r="R15" i="1"/>
  <c r="T15" i="1"/>
  <c r="U15" i="1"/>
  <c r="Y15" i="1"/>
  <c r="Z15" i="1"/>
  <c r="AA15" i="1"/>
  <c r="AB15" i="1"/>
  <c r="AD15" i="1"/>
  <c r="R16" i="1"/>
  <c r="T16" i="1"/>
  <c r="U16" i="1"/>
  <c r="Y16" i="1"/>
  <c r="Z16" i="1"/>
  <c r="AA16" i="1"/>
  <c r="AB16" i="1"/>
  <c r="AD16" i="1"/>
  <c r="R17" i="1"/>
  <c r="T17" i="1"/>
  <c r="U17" i="1"/>
  <c r="Y17" i="1"/>
  <c r="Z17" i="1"/>
  <c r="AA17" i="1"/>
  <c r="AB17" i="1"/>
  <c r="AD17" i="1"/>
  <c r="R18" i="1"/>
  <c r="T18" i="1"/>
  <c r="U18" i="1"/>
  <c r="W18" i="1"/>
  <c r="Y18" i="1"/>
  <c r="Z18" i="1"/>
  <c r="AA18" i="1"/>
  <c r="AB18" i="1"/>
  <c r="AD18" i="1"/>
  <c r="R19" i="1"/>
  <c r="T19" i="1"/>
  <c r="U19" i="1"/>
  <c r="Y19" i="1"/>
  <c r="Z19" i="1"/>
  <c r="AA19" i="1"/>
  <c r="AB19" i="1"/>
  <c r="AD19" i="1"/>
  <c r="R20" i="1"/>
  <c r="T20" i="1"/>
  <c r="U20" i="1"/>
  <c r="Y20" i="1"/>
  <c r="Z20" i="1"/>
  <c r="AA20" i="1"/>
  <c r="AB20" i="1"/>
  <c r="AD20" i="1"/>
  <c r="R22" i="1"/>
  <c r="T22" i="1"/>
  <c r="U22" i="1"/>
  <c r="Y22" i="1"/>
  <c r="Z22" i="1"/>
  <c r="AA22" i="1"/>
  <c r="AB22" i="1"/>
  <c r="AD22" i="1"/>
  <c r="R23" i="1"/>
  <c r="T23" i="1"/>
  <c r="U23" i="1"/>
  <c r="W23" i="1"/>
  <c r="Y23" i="1"/>
  <c r="Z23" i="1"/>
  <c r="AA23" i="1"/>
  <c r="AB23" i="1"/>
  <c r="AD23" i="1"/>
  <c r="R24" i="1"/>
  <c r="T24" i="1"/>
  <c r="U24" i="1"/>
  <c r="Y24" i="1"/>
  <c r="Z24" i="1"/>
  <c r="AA24" i="1"/>
  <c r="AB24" i="1"/>
  <c r="AD24" i="1"/>
  <c r="R25" i="1"/>
  <c r="T25" i="1"/>
  <c r="U25" i="1"/>
  <c r="Y25" i="1"/>
  <c r="Z25" i="1"/>
  <c r="AA25" i="1"/>
  <c r="AB25" i="1"/>
  <c r="AD25" i="1"/>
  <c r="R29" i="1"/>
  <c r="T29" i="1"/>
  <c r="U29" i="1"/>
  <c r="W29" i="1"/>
  <c r="Y29" i="1"/>
  <c r="Z29" i="1"/>
  <c r="AA29" i="1"/>
  <c r="AB29" i="1"/>
  <c r="AD29" i="1"/>
  <c r="R30" i="1"/>
  <c r="T30" i="1"/>
  <c r="U30" i="1"/>
  <c r="Y30" i="1"/>
  <c r="Z30" i="1"/>
  <c r="AA30" i="1"/>
  <c r="AB30" i="1"/>
  <c r="AD30" i="1"/>
  <c r="R31" i="1"/>
  <c r="T31" i="1"/>
  <c r="U31" i="1"/>
  <c r="Y31" i="1"/>
  <c r="Z31" i="1"/>
  <c r="AA31" i="1"/>
  <c r="AB31" i="1"/>
  <c r="AD31" i="1"/>
  <c r="R32" i="1"/>
  <c r="T32" i="1"/>
  <c r="U32" i="1"/>
  <c r="Y32" i="1"/>
  <c r="Z32" i="1"/>
  <c r="AA32" i="1"/>
  <c r="AB32" i="1"/>
  <c r="AD32" i="1"/>
  <c r="R33" i="1"/>
  <c r="T33" i="1"/>
  <c r="U33" i="1"/>
  <c r="Y33" i="1"/>
  <c r="Z33" i="1"/>
  <c r="AA33" i="1"/>
  <c r="AB33" i="1"/>
  <c r="AD33" i="1"/>
  <c r="R34" i="1"/>
  <c r="T34" i="1"/>
  <c r="U34" i="1"/>
  <c r="W34" i="1"/>
  <c r="Y34" i="1"/>
  <c r="Z34" i="1"/>
  <c r="AA34" i="1"/>
  <c r="AB34" i="1"/>
  <c r="AD34" i="1"/>
  <c r="R35" i="1"/>
  <c r="T35" i="1"/>
  <c r="U35" i="1"/>
  <c r="Y35" i="1"/>
  <c r="Z35" i="1"/>
  <c r="AA35" i="1"/>
  <c r="AB35" i="1"/>
  <c r="AD35" i="1"/>
  <c r="R36" i="1"/>
  <c r="T36" i="1"/>
  <c r="U36" i="1"/>
  <c r="Y36" i="1"/>
  <c r="Z36" i="1"/>
  <c r="AA36" i="1"/>
  <c r="AB36" i="1"/>
  <c r="AD36" i="1"/>
  <c r="R37" i="1"/>
  <c r="T37" i="1"/>
  <c r="U37" i="1"/>
  <c r="Y37" i="1"/>
  <c r="Z37" i="1"/>
  <c r="AA37" i="1"/>
  <c r="AB37" i="1"/>
  <c r="AD37" i="1"/>
  <c r="R38" i="1"/>
  <c r="T38" i="1"/>
  <c r="U38" i="1"/>
  <c r="Y38" i="1"/>
  <c r="Z38" i="1"/>
  <c r="AA38" i="1"/>
  <c r="AB38" i="1"/>
  <c r="AD38" i="1"/>
  <c r="R39" i="1"/>
  <c r="T39" i="1"/>
  <c r="U39" i="1"/>
  <c r="W39" i="1"/>
  <c r="Y39" i="1"/>
  <c r="Z39" i="1"/>
  <c r="AA39" i="1"/>
  <c r="AB39" i="1"/>
  <c r="AD39" i="1"/>
  <c r="R40" i="1"/>
  <c r="T40" i="1"/>
  <c r="U40" i="1"/>
  <c r="Y40" i="1"/>
  <c r="Z40" i="1"/>
  <c r="AA40" i="1"/>
  <c r="AB40" i="1"/>
  <c r="AD40" i="1"/>
  <c r="R41" i="1"/>
  <c r="T41" i="1"/>
  <c r="U41" i="1"/>
  <c r="Y41" i="1"/>
  <c r="Z41" i="1"/>
  <c r="AA41" i="1"/>
  <c r="AB41" i="1"/>
  <c r="AD41" i="1"/>
  <c r="R44" i="1"/>
  <c r="T44" i="1"/>
  <c r="U44" i="1"/>
  <c r="Y44" i="1"/>
  <c r="Z44" i="1"/>
  <c r="AA44" i="1"/>
  <c r="AB44" i="1"/>
  <c r="AD44" i="1"/>
  <c r="R45" i="1"/>
  <c r="T45" i="1"/>
  <c r="U45" i="1"/>
  <c r="W45" i="1"/>
  <c r="Y45" i="1"/>
  <c r="Z45" i="1"/>
  <c r="AA45" i="1"/>
  <c r="AB45" i="1"/>
  <c r="AD45" i="1"/>
  <c r="R46" i="1"/>
  <c r="T46" i="1"/>
  <c r="U46" i="1"/>
  <c r="W46" i="1"/>
  <c r="Y46" i="1"/>
  <c r="Z46" i="1"/>
  <c r="AA46" i="1"/>
  <c r="AB46" i="1"/>
  <c r="AD46" i="1"/>
  <c r="R47" i="1"/>
  <c r="T47" i="1"/>
  <c r="U47" i="1"/>
  <c r="Y47" i="1"/>
  <c r="Z47" i="1"/>
  <c r="AA47" i="1"/>
  <c r="AB47" i="1"/>
  <c r="AD47" i="1"/>
  <c r="R50" i="1"/>
  <c r="T50" i="1"/>
  <c r="U50" i="1"/>
  <c r="Y50" i="1"/>
  <c r="Z50" i="1"/>
  <c r="AA50" i="1"/>
  <c r="AB50" i="1"/>
  <c r="AD50" i="1"/>
  <c r="R51" i="1"/>
  <c r="T51" i="1"/>
  <c r="U51" i="1"/>
  <c r="Y51" i="1"/>
  <c r="Z51" i="1"/>
  <c r="AA51" i="1"/>
  <c r="AB51" i="1"/>
  <c r="AD51" i="1"/>
  <c r="R52" i="1"/>
  <c r="T52" i="1"/>
  <c r="U52" i="1"/>
  <c r="V52" i="1"/>
  <c r="W52" i="1"/>
  <c r="Y52" i="1"/>
  <c r="Z52" i="1"/>
  <c r="AA52" i="1"/>
  <c r="AB52" i="1"/>
  <c r="AD52" i="1"/>
  <c r="R53" i="1"/>
  <c r="T53" i="1"/>
  <c r="U53" i="1"/>
  <c r="Y53" i="1"/>
  <c r="Z53" i="1"/>
  <c r="AA53" i="1"/>
  <c r="AB53" i="1"/>
  <c r="AD53" i="1"/>
  <c r="R54" i="1"/>
  <c r="T54" i="1"/>
  <c r="U54" i="1"/>
  <c r="Y54" i="1"/>
  <c r="Z54" i="1"/>
  <c r="AA54" i="1"/>
  <c r="AB54" i="1"/>
  <c r="AD54" i="1"/>
  <c r="R55" i="1"/>
  <c r="T55" i="1"/>
  <c r="U55" i="1"/>
  <c r="Y55" i="1"/>
  <c r="Z55" i="1"/>
  <c r="AA55" i="1"/>
  <c r="AB55" i="1"/>
  <c r="AD55" i="1"/>
  <c r="R56" i="1"/>
  <c r="T56" i="1"/>
  <c r="U56" i="1"/>
  <c r="Y56" i="1"/>
  <c r="Z56" i="1"/>
  <c r="AA56" i="1"/>
  <c r="AB56" i="1"/>
  <c r="AD56" i="1"/>
  <c r="R57" i="1"/>
  <c r="T57" i="1"/>
  <c r="U57" i="1"/>
  <c r="Y57" i="1"/>
  <c r="Z57" i="1"/>
  <c r="AA57" i="1"/>
  <c r="AB57" i="1"/>
  <c r="AD57" i="1"/>
  <c r="R58" i="1"/>
  <c r="T58" i="1"/>
  <c r="U58" i="1"/>
  <c r="Y58" i="1"/>
  <c r="Z58" i="1"/>
  <c r="AA58" i="1"/>
  <c r="AB58" i="1"/>
  <c r="AD58" i="1"/>
  <c r="R59" i="1"/>
  <c r="T59" i="1"/>
  <c r="U59" i="1"/>
  <c r="Y59" i="1"/>
  <c r="Z59" i="1"/>
  <c r="AA59" i="1"/>
  <c r="AB59" i="1"/>
  <c r="AD59" i="1"/>
  <c r="R60" i="1"/>
  <c r="T60" i="1"/>
  <c r="U60" i="1"/>
  <c r="Y60" i="1"/>
  <c r="Z60" i="1"/>
  <c r="AA60" i="1"/>
  <c r="AB60" i="1"/>
  <c r="AD60" i="1"/>
  <c r="R61" i="1"/>
  <c r="T61" i="1"/>
  <c r="U61" i="1"/>
  <c r="Y61" i="1"/>
  <c r="Z61" i="1"/>
  <c r="AA61" i="1"/>
  <c r="AB61" i="1"/>
  <c r="AD61" i="1"/>
  <c r="R62" i="1"/>
  <c r="T62" i="1"/>
  <c r="U62" i="1"/>
  <c r="Y62" i="1"/>
  <c r="Z62" i="1"/>
  <c r="AA62" i="1"/>
  <c r="AB62" i="1"/>
  <c r="AD62" i="1"/>
  <c r="R63" i="1"/>
  <c r="T63" i="1"/>
  <c r="U63" i="1"/>
  <c r="Y63" i="1"/>
  <c r="Z63" i="1"/>
  <c r="AA63" i="1"/>
  <c r="AB63" i="1"/>
  <c r="AD63" i="1"/>
  <c r="R64" i="1"/>
  <c r="T64" i="1"/>
  <c r="U64" i="1"/>
  <c r="Y64" i="1"/>
  <c r="Z64" i="1"/>
  <c r="AA64" i="1"/>
  <c r="AB64" i="1"/>
  <c r="AD64" i="1"/>
  <c r="R65" i="1"/>
  <c r="T65" i="1"/>
  <c r="U65" i="1"/>
  <c r="Y65" i="1"/>
  <c r="Z65" i="1"/>
  <c r="AA65" i="1"/>
  <c r="AB65" i="1"/>
  <c r="AD65" i="1"/>
  <c r="R66" i="1"/>
  <c r="T66" i="1"/>
  <c r="U66" i="1"/>
  <c r="Y66" i="1"/>
  <c r="Z66" i="1"/>
  <c r="AA66" i="1"/>
  <c r="AB66" i="1"/>
  <c r="AD66" i="1"/>
  <c r="R67" i="1"/>
  <c r="T67" i="1"/>
  <c r="U67" i="1"/>
  <c r="Y67" i="1"/>
  <c r="Z67" i="1"/>
  <c r="AA67" i="1"/>
  <c r="AB67" i="1"/>
  <c r="AD67" i="1"/>
  <c r="R68" i="1"/>
  <c r="T68" i="1"/>
  <c r="U68" i="1"/>
  <c r="Y68" i="1"/>
  <c r="Z68" i="1"/>
  <c r="AA68" i="1"/>
  <c r="AB68" i="1"/>
  <c r="AD68" i="1"/>
  <c r="R69" i="1"/>
  <c r="T69" i="1"/>
  <c r="U69" i="1"/>
  <c r="Y69" i="1"/>
  <c r="Z69" i="1"/>
  <c r="AA69" i="1"/>
  <c r="AB69" i="1"/>
  <c r="AD69" i="1"/>
  <c r="R70" i="1"/>
  <c r="T70" i="1"/>
  <c r="U70" i="1"/>
  <c r="Y70" i="1"/>
  <c r="Z70" i="1"/>
  <c r="AA70" i="1"/>
  <c r="AB70" i="1"/>
  <c r="AD70" i="1"/>
  <c r="R71" i="1"/>
  <c r="T71" i="1"/>
  <c r="U71" i="1"/>
  <c r="Y71" i="1"/>
  <c r="Z71" i="1"/>
  <c r="AA71" i="1"/>
  <c r="AB71" i="1"/>
  <c r="AD71" i="1"/>
  <c r="R72" i="1"/>
  <c r="T72" i="1"/>
  <c r="U72" i="1"/>
  <c r="Y72" i="1"/>
  <c r="Z72" i="1"/>
  <c r="AA72" i="1"/>
  <c r="AB72" i="1"/>
  <c r="AD72" i="1"/>
  <c r="R73" i="1"/>
  <c r="T73" i="1"/>
  <c r="U73" i="1"/>
  <c r="Y73" i="1"/>
  <c r="Z73" i="1"/>
  <c r="AA73" i="1"/>
  <c r="AB73" i="1"/>
  <c r="AD73" i="1"/>
  <c r="R74" i="1"/>
  <c r="T74" i="1"/>
  <c r="U74" i="1"/>
  <c r="Y74" i="1"/>
  <c r="Z74" i="1"/>
  <c r="AA74" i="1"/>
  <c r="AB74" i="1"/>
  <c r="AD74" i="1"/>
  <c r="R75" i="1"/>
  <c r="T75" i="1"/>
  <c r="U75" i="1"/>
  <c r="Y75" i="1"/>
  <c r="Z75" i="1"/>
  <c r="AA75" i="1"/>
  <c r="AB75" i="1"/>
  <c r="AD75" i="1"/>
  <c r="R76" i="1"/>
  <c r="T76" i="1"/>
  <c r="U76" i="1"/>
  <c r="W76" i="1"/>
  <c r="Y76" i="1"/>
  <c r="Z76" i="1"/>
  <c r="AA76" i="1"/>
  <c r="AB76" i="1"/>
  <c r="AD76" i="1"/>
  <c r="E6" i="1"/>
  <c r="W6" i="1" s="1"/>
  <c r="N6" i="1"/>
  <c r="V6" i="1" s="1"/>
  <c r="E61" i="1"/>
  <c r="W61" i="1" s="1"/>
  <c r="N61" i="1"/>
  <c r="V61" i="1" s="1"/>
  <c r="E60" i="1"/>
  <c r="W60" i="1" s="1"/>
  <c r="N60" i="1"/>
  <c r="V60" i="1" s="1"/>
  <c r="R2" i="1"/>
  <c r="T2" i="1"/>
  <c r="U2" i="1"/>
  <c r="W2" i="1"/>
  <c r="Y2" i="1"/>
  <c r="Z2" i="1"/>
  <c r="AA2" i="1"/>
  <c r="AB2" i="1"/>
  <c r="AD2" i="1"/>
  <c r="E59" i="1"/>
  <c r="W59" i="1" s="1"/>
  <c r="N59" i="1"/>
  <c r="V59" i="1" s="1"/>
  <c r="E40" i="1"/>
  <c r="W40" i="1" s="1"/>
  <c r="N40" i="1"/>
  <c r="V40" i="1" s="1"/>
  <c r="E44" i="1"/>
  <c r="W44" i="1" s="1"/>
  <c r="N44" i="1"/>
  <c r="V44" i="1" s="1"/>
  <c r="E72" i="1"/>
  <c r="W72" i="1" s="1"/>
  <c r="N72" i="1"/>
  <c r="V72" i="1" s="1"/>
  <c r="E73" i="1"/>
  <c r="W73" i="1" s="1"/>
  <c r="N73" i="1"/>
  <c r="V73" i="1" s="1"/>
  <c r="E56" i="1"/>
  <c r="W56" i="1" s="1"/>
  <c r="N56" i="1"/>
  <c r="V56" i="1" s="1"/>
  <c r="E3" i="1"/>
  <c r="N3" i="1"/>
  <c r="V3" i="1" s="1"/>
  <c r="E46" i="1"/>
  <c r="E75" i="1"/>
  <c r="W75" i="1" s="1"/>
  <c r="E76" i="1"/>
  <c r="E62" i="1"/>
  <c r="W62" i="1" s="1"/>
  <c r="E53" i="1"/>
  <c r="W53" i="1" s="1"/>
  <c r="N46" i="1"/>
  <c r="V46" i="1" s="1"/>
  <c r="N75" i="1"/>
  <c r="V75" i="1" s="1"/>
  <c r="N76" i="1"/>
  <c r="V76" i="1" s="1"/>
  <c r="N62" i="1"/>
  <c r="V62" i="1" s="1"/>
  <c r="N53" i="1"/>
  <c r="V53" i="1" s="1"/>
  <c r="AF97" i="1" l="1"/>
  <c r="AG97" i="1" s="1"/>
  <c r="AF96" i="1"/>
  <c r="AG96" i="1" s="1"/>
  <c r="AF95" i="1"/>
  <c r="AG95" i="1" s="1"/>
  <c r="AF49" i="1"/>
  <c r="AG49" i="1" s="1"/>
  <c r="AF48" i="1"/>
  <c r="AG48" i="1" s="1"/>
  <c r="AF94" i="1"/>
  <c r="AG94" i="1" s="1"/>
  <c r="AF93" i="1"/>
  <c r="AG93" i="1" s="1"/>
  <c r="AF92" i="1"/>
  <c r="AG92" i="1" s="1"/>
  <c r="AF91" i="1"/>
  <c r="AG91" i="1" s="1"/>
  <c r="AF90" i="1"/>
  <c r="AG90" i="1" s="1"/>
  <c r="AF89" i="1"/>
  <c r="AG89" i="1" s="1"/>
  <c r="AF88" i="1"/>
  <c r="AG88" i="1" s="1"/>
  <c r="AF79" i="1"/>
  <c r="AG79" i="1" s="1"/>
  <c r="AF21" i="1"/>
  <c r="AF87" i="1"/>
  <c r="AG87" i="1" s="1"/>
  <c r="AF86" i="1"/>
  <c r="AG86" i="1" s="1"/>
  <c r="AF85" i="1"/>
  <c r="AG85" i="1" s="1"/>
  <c r="AF84" i="1"/>
  <c r="AG84" i="1" s="1"/>
  <c r="AF28" i="1"/>
  <c r="AG28" i="1" s="1"/>
  <c r="AF27" i="1"/>
  <c r="AG27" i="1" s="1"/>
  <c r="AF83" i="1"/>
  <c r="AG83" i="1" s="1"/>
  <c r="AF26" i="1"/>
  <c r="AG26" i="1" s="1"/>
  <c r="AF82" i="1"/>
  <c r="AG82" i="1" s="1"/>
  <c r="AF81" i="1"/>
  <c r="AG81" i="1" s="1"/>
  <c r="AF80" i="1"/>
  <c r="AG80" i="1" s="1"/>
  <c r="AF43" i="1"/>
  <c r="AG43" i="1" s="1"/>
  <c r="AF42" i="1"/>
  <c r="AG42" i="1" s="1"/>
  <c r="AF78" i="1"/>
  <c r="AG78" i="1" s="1"/>
  <c r="AF77" i="1"/>
  <c r="AG77" i="1" s="1"/>
  <c r="AF62" i="1"/>
  <c r="AG62" i="1" s="1"/>
  <c r="AF60" i="1"/>
  <c r="AG60" i="1" s="1"/>
  <c r="AF76" i="1"/>
  <c r="AG76" i="1" s="1"/>
  <c r="AF75" i="1"/>
  <c r="AG75" i="1" s="1"/>
  <c r="AF61" i="1"/>
  <c r="AG61" i="1" s="1"/>
  <c r="AF56" i="1"/>
  <c r="AG56" i="1" s="1"/>
  <c r="AF52" i="1"/>
  <c r="AG52" i="1" s="1"/>
  <c r="AF46" i="1"/>
  <c r="AG46" i="1" s="1"/>
  <c r="AF44" i="1"/>
  <c r="AG44" i="1" s="1"/>
  <c r="AF40" i="1"/>
  <c r="AG40" i="1" s="1"/>
  <c r="AF6" i="1"/>
  <c r="AG6" i="1" s="1"/>
  <c r="AF72" i="1"/>
  <c r="AG72" i="1" s="1"/>
  <c r="AF59" i="1"/>
  <c r="AG59" i="1" s="1"/>
  <c r="AF3" i="1"/>
  <c r="AG3" i="1" s="1"/>
  <c r="AF73" i="1"/>
  <c r="AG73" i="1" s="1"/>
  <c r="AF53" i="1"/>
  <c r="AG53" i="1" s="1"/>
  <c r="E70" i="1"/>
  <c r="W70" i="1" s="1"/>
  <c r="N70" i="1"/>
  <c r="V70" i="1" s="1"/>
  <c r="E47" i="1"/>
  <c r="W47" i="1" s="1"/>
  <c r="N47" i="1"/>
  <c r="V47" i="1" s="1"/>
  <c r="E74" i="1"/>
  <c r="W74" i="1" s="1"/>
  <c r="N74" i="1"/>
  <c r="V74" i="1" s="1"/>
  <c r="E45" i="1"/>
  <c r="N45" i="1"/>
  <c r="V45" i="1" s="1"/>
  <c r="AF45" i="1" s="1"/>
  <c r="AG45" i="1" s="1"/>
  <c r="AF47" i="1" l="1"/>
  <c r="AG47" i="1" s="1"/>
  <c r="AF74" i="1"/>
  <c r="AG74" i="1" s="1"/>
  <c r="AF70" i="1"/>
  <c r="AG70" i="1" s="1"/>
  <c r="N69" i="1"/>
  <c r="V69" i="1" s="1"/>
  <c r="N71" i="1"/>
  <c r="V71" i="1" s="1"/>
  <c r="N68" i="1"/>
  <c r="V68" i="1" s="1"/>
  <c r="N55" i="1"/>
  <c r="V55" i="1" s="1"/>
  <c r="N54" i="1"/>
  <c r="V54" i="1" s="1"/>
  <c r="N25" i="1"/>
  <c r="V25" i="1" s="1"/>
  <c r="N24" i="1"/>
  <c r="V24" i="1" s="1"/>
  <c r="N23" i="1"/>
  <c r="V23" i="1" s="1"/>
  <c r="AF23" i="1" s="1"/>
  <c r="AG23" i="1" s="1"/>
  <c r="N51" i="1"/>
  <c r="V51" i="1" s="1"/>
  <c r="N50" i="1"/>
  <c r="V50" i="1" s="1"/>
  <c r="N58" i="1"/>
  <c r="V58" i="1" s="1"/>
  <c r="N57" i="1"/>
  <c r="V57" i="1" s="1"/>
  <c r="N65" i="1"/>
  <c r="V65" i="1" s="1"/>
  <c r="N64" i="1"/>
  <c r="V64" i="1" s="1"/>
  <c r="N67" i="1"/>
  <c r="V67" i="1" s="1"/>
  <c r="N66" i="1"/>
  <c r="V66" i="1" s="1"/>
  <c r="N36" i="1"/>
  <c r="V36" i="1" s="1"/>
  <c r="N38" i="1"/>
  <c r="V38" i="1" s="1"/>
  <c r="N37" i="1"/>
  <c r="V37" i="1" s="1"/>
  <c r="N35" i="1"/>
  <c r="V35" i="1" s="1"/>
  <c r="N34" i="1"/>
  <c r="V34" i="1" s="1"/>
  <c r="AF34" i="1" s="1"/>
  <c r="AG34" i="1" s="1"/>
  <c r="N30" i="1"/>
  <c r="V30" i="1" s="1"/>
  <c r="N33" i="1"/>
  <c r="V33" i="1" s="1"/>
  <c r="N32" i="1"/>
  <c r="V32" i="1" s="1"/>
  <c r="N31" i="1"/>
  <c r="V31" i="1" s="1"/>
  <c r="N29" i="1"/>
  <c r="V29" i="1" s="1"/>
  <c r="AF29" i="1" s="1"/>
  <c r="AG29" i="1" s="1"/>
  <c r="N41" i="1"/>
  <c r="V41" i="1" s="1"/>
  <c r="N39" i="1"/>
  <c r="V39" i="1" s="1"/>
  <c r="AF39" i="1" s="1"/>
  <c r="AG39" i="1" s="1"/>
  <c r="N17" i="1"/>
  <c r="V17" i="1" s="1"/>
  <c r="N2" i="1" l="1"/>
  <c r="V2" i="1" s="1"/>
  <c r="AF2" i="1" s="1"/>
  <c r="AG2" i="1" s="1"/>
  <c r="N4" i="1"/>
  <c r="V4" i="1" s="1"/>
  <c r="N5" i="1"/>
  <c r="V5" i="1" s="1"/>
  <c r="N7" i="1"/>
  <c r="V7" i="1" s="1"/>
  <c r="N18" i="1"/>
  <c r="V18" i="1" s="1"/>
  <c r="AF18" i="1" s="1"/>
  <c r="AG18" i="1" s="1"/>
  <c r="N19" i="1"/>
  <c r="V19" i="1" s="1"/>
  <c r="N20" i="1"/>
  <c r="V20" i="1" s="1"/>
  <c r="N63" i="1"/>
  <c r="V63" i="1" s="1"/>
  <c r="N22" i="1"/>
  <c r="V22" i="1" s="1"/>
  <c r="N8" i="1"/>
  <c r="V8" i="1" s="1"/>
  <c r="AF8" i="1" s="1"/>
  <c r="AG8" i="1" s="1"/>
  <c r="N9" i="1"/>
  <c r="V9" i="1" s="1"/>
  <c r="N10" i="1"/>
  <c r="V10" i="1" s="1"/>
  <c r="N11" i="1"/>
  <c r="V11" i="1" s="1"/>
  <c r="N12" i="1"/>
  <c r="V12" i="1" s="1"/>
  <c r="N13" i="1"/>
  <c r="V13" i="1" s="1"/>
  <c r="AF13" i="1" s="1"/>
  <c r="AG13" i="1" s="1"/>
  <c r="N14" i="1"/>
  <c r="V14" i="1" s="1"/>
  <c r="N15" i="1"/>
  <c r="V15" i="1" s="1"/>
  <c r="N16" i="1"/>
  <c r="V16" i="1" s="1"/>
  <c r="E2" i="1" l="1"/>
  <c r="E4" i="1"/>
  <c r="W4" i="1" s="1"/>
  <c r="AF4" i="1" s="1"/>
  <c r="AG4" i="1" s="1"/>
  <c r="E5" i="1"/>
  <c r="W5" i="1" s="1"/>
  <c r="AF5" i="1" s="1"/>
  <c r="AG5" i="1" s="1"/>
  <c r="E7" i="1"/>
  <c r="W7" i="1" s="1"/>
  <c r="AF7" i="1" s="1"/>
  <c r="AG7" i="1" s="1"/>
  <c r="E18" i="1"/>
  <c r="E19" i="1"/>
  <c r="W19" i="1" s="1"/>
  <c r="AF19" i="1" s="1"/>
  <c r="AG19" i="1" s="1"/>
  <c r="E20" i="1"/>
  <c r="W20" i="1" s="1"/>
  <c r="AF20" i="1" s="1"/>
  <c r="AG20" i="1" s="1"/>
  <c r="E63" i="1"/>
  <c r="W63" i="1" s="1"/>
  <c r="AF63" i="1" s="1"/>
  <c r="AG63" i="1" s="1"/>
  <c r="E22" i="1"/>
  <c r="W22" i="1" s="1"/>
  <c r="AF22" i="1" s="1"/>
  <c r="AG22" i="1" s="1"/>
  <c r="E8" i="1"/>
  <c r="E9" i="1"/>
  <c r="W9" i="1" s="1"/>
  <c r="AF9" i="1" s="1"/>
  <c r="AG9" i="1" s="1"/>
  <c r="E10" i="1"/>
  <c r="W10" i="1" s="1"/>
  <c r="AF10" i="1" s="1"/>
  <c r="AG10" i="1" s="1"/>
  <c r="E11" i="1"/>
  <c r="W11" i="1" s="1"/>
  <c r="AF11" i="1" s="1"/>
  <c r="AG11" i="1" s="1"/>
  <c r="E12" i="1"/>
  <c r="W12" i="1" s="1"/>
  <c r="AF12" i="1" s="1"/>
  <c r="AG12" i="1" s="1"/>
  <c r="E13" i="1"/>
  <c r="E14" i="1"/>
  <c r="W14" i="1" s="1"/>
  <c r="AF14" i="1" s="1"/>
  <c r="AG14" i="1" s="1"/>
  <c r="E15" i="1"/>
  <c r="W15" i="1" s="1"/>
  <c r="AF15" i="1" s="1"/>
  <c r="AG15" i="1" s="1"/>
  <c r="E16" i="1"/>
  <c r="W16" i="1" s="1"/>
  <c r="AF16" i="1" s="1"/>
  <c r="AG16" i="1" s="1"/>
  <c r="E17" i="1"/>
  <c r="W17" i="1" s="1"/>
  <c r="AF17" i="1" s="1"/>
  <c r="AG17" i="1" s="1"/>
  <c r="E39" i="1"/>
  <c r="E41" i="1"/>
  <c r="W41" i="1" s="1"/>
  <c r="AF41" i="1" s="1"/>
  <c r="AG41" i="1" s="1"/>
  <c r="E29" i="1"/>
  <c r="E31" i="1"/>
  <c r="W31" i="1" s="1"/>
  <c r="AF31" i="1" s="1"/>
  <c r="AG31" i="1" s="1"/>
  <c r="E32" i="1"/>
  <c r="W32" i="1" s="1"/>
  <c r="AF32" i="1" s="1"/>
  <c r="AG32" i="1" s="1"/>
  <c r="E33" i="1"/>
  <c r="W33" i="1" s="1"/>
  <c r="AF33" i="1" s="1"/>
  <c r="AG33" i="1" s="1"/>
  <c r="E30" i="1"/>
  <c r="W30" i="1" s="1"/>
  <c r="AF30" i="1" s="1"/>
  <c r="AG30" i="1" s="1"/>
  <c r="E34" i="1"/>
  <c r="E35" i="1"/>
  <c r="W35" i="1" s="1"/>
  <c r="AF35" i="1" s="1"/>
  <c r="AG35" i="1" s="1"/>
  <c r="E37" i="1"/>
  <c r="W37" i="1" s="1"/>
  <c r="AF37" i="1" s="1"/>
  <c r="AG37" i="1" s="1"/>
  <c r="E38" i="1"/>
  <c r="W38" i="1" s="1"/>
  <c r="AF38" i="1" s="1"/>
  <c r="AG38" i="1" s="1"/>
  <c r="E36" i="1"/>
  <c r="W36" i="1" s="1"/>
  <c r="AF36" i="1" s="1"/>
  <c r="AG36" i="1" s="1"/>
  <c r="E66" i="1"/>
  <c r="W66" i="1" s="1"/>
  <c r="AF66" i="1" s="1"/>
  <c r="AG66" i="1" s="1"/>
  <c r="E67" i="1"/>
  <c r="W67" i="1" s="1"/>
  <c r="AF67" i="1" s="1"/>
  <c r="AG67" i="1" s="1"/>
  <c r="E64" i="1"/>
  <c r="W64" i="1" s="1"/>
  <c r="AF64" i="1" s="1"/>
  <c r="AG64" i="1" s="1"/>
  <c r="E65" i="1"/>
  <c r="W65" i="1" s="1"/>
  <c r="AF65" i="1" s="1"/>
  <c r="AG65" i="1" s="1"/>
  <c r="E57" i="1"/>
  <c r="W57" i="1" s="1"/>
  <c r="AF57" i="1" s="1"/>
  <c r="AG57" i="1" s="1"/>
  <c r="E58" i="1"/>
  <c r="W58" i="1" s="1"/>
  <c r="AF58" i="1" s="1"/>
  <c r="AG58" i="1" s="1"/>
  <c r="E50" i="1"/>
  <c r="W50" i="1" s="1"/>
  <c r="AF50" i="1" s="1"/>
  <c r="AG50" i="1" s="1"/>
  <c r="E51" i="1"/>
  <c r="W51" i="1" s="1"/>
  <c r="AF51" i="1" s="1"/>
  <c r="AG51" i="1" s="1"/>
  <c r="E23" i="1"/>
  <c r="E24" i="1"/>
  <c r="W24" i="1" s="1"/>
  <c r="AF24" i="1" s="1"/>
  <c r="AG24" i="1" s="1"/>
  <c r="E25" i="1"/>
  <c r="W25" i="1" s="1"/>
  <c r="AF25" i="1" s="1"/>
  <c r="AG25" i="1" s="1"/>
  <c r="E54" i="1"/>
  <c r="W54" i="1" s="1"/>
  <c r="AF54" i="1" s="1"/>
  <c r="AG54" i="1" s="1"/>
  <c r="E55" i="1"/>
  <c r="W55" i="1" s="1"/>
  <c r="AF55" i="1" s="1"/>
  <c r="AG55" i="1" s="1"/>
  <c r="E68" i="1"/>
  <c r="W68" i="1" s="1"/>
  <c r="AF68" i="1" s="1"/>
  <c r="AG68" i="1" s="1"/>
  <c r="E71" i="1"/>
  <c r="W71" i="1" s="1"/>
  <c r="AF71" i="1" s="1"/>
  <c r="AG71" i="1" s="1"/>
  <c r="E69" i="1"/>
  <c r="W69" i="1" s="1"/>
  <c r="AF69" i="1" s="1"/>
  <c r="AG69" i="1" s="1"/>
</calcChain>
</file>

<file path=xl/sharedStrings.xml><?xml version="1.0" encoding="utf-8"?>
<sst xmlns="http://schemas.openxmlformats.org/spreadsheetml/2006/main" count="788" uniqueCount="265">
  <si>
    <t>Voie</t>
  </si>
  <si>
    <t>Souffle</t>
  </si>
  <si>
    <t>Concentration</t>
  </si>
  <si>
    <t>Adrénaline</t>
  </si>
  <si>
    <t>Passif ?</t>
  </si>
  <si>
    <t>Action de combat ?</t>
  </si>
  <si>
    <t>Innée ?</t>
  </si>
  <si>
    <t>Niveau</t>
  </si>
  <si>
    <t>Effets</t>
  </si>
  <si>
    <t>Améliorable ?</t>
  </si>
  <si>
    <t>Déplacement</t>
  </si>
  <si>
    <t>Nom</t>
  </si>
  <si>
    <t>Courir</t>
  </si>
  <si>
    <t>Leste</t>
  </si>
  <si>
    <t>Apprentissage</t>
  </si>
  <si>
    <t>Exécution</t>
  </si>
  <si>
    <t>Déplacement en armure</t>
  </si>
  <si>
    <t>Le personnage n’est plus ralenti lorsqu’il porte une armure (cf. section équipement).</t>
  </si>
  <si>
    <t>Vitesse</t>
  </si>
  <si>
    <t>Précision</t>
  </si>
  <si>
    <t>Puissance</t>
  </si>
  <si>
    <t>Distance</t>
  </si>
  <si>
    <t>Parade</t>
  </si>
  <si>
    <t>Esquive</t>
  </si>
  <si>
    <t>Replacement stratégique</t>
  </si>
  <si>
    <t>Coup rapide</t>
  </si>
  <si>
    <t>Coup précis</t>
  </si>
  <si>
    <t>Coup puissant</t>
  </si>
  <si>
    <t>Les actions de combat de la voie de la vitesse nécessitent 1 temps d'Exécution de moins.</t>
  </si>
  <si>
    <t>Frappe lourde</t>
  </si>
  <si>
    <t>Rush</t>
  </si>
  <si>
    <t>Les actions de combat de la voie de la puissance nécessite 1 point de souffle de moins.</t>
  </si>
  <si>
    <t>Profil</t>
  </si>
  <si>
    <t>Seuils d'apprentissage</t>
  </si>
  <si>
    <t>Profils</t>
  </si>
  <si>
    <t>Rapide</t>
  </si>
  <si>
    <t>Puissant</t>
  </si>
  <si>
    <t>Précis</t>
  </si>
  <si>
    <t>Distant</t>
  </si>
  <si>
    <t>Double coup</t>
  </si>
  <si>
    <t>Les actions de combat de la voie de la précision lancent un dé de localisation supplémentaire.</t>
  </si>
  <si>
    <t>Attaque à distance</t>
  </si>
  <si>
    <t>Coup ciblé</t>
  </si>
  <si>
    <t>HTML_passif</t>
  </si>
  <si>
    <t>HTML_profil</t>
  </si>
  <si>
    <t>HTML_nom</t>
  </si>
  <si>
    <t>HTML_prefix</t>
  </si>
  <si>
    <t>HTML_specs_prefix</t>
  </si>
  <si>
    <t>HTML_innée</t>
  </si>
  <si>
    <t>HTML_specs_suffix</t>
  </si>
  <si>
    <t>&lt;/td&gt;&lt;/tr&gt;&lt;/table class=""spec""&gt;</t>
  </si>
  <si>
    <t>HTML_specs_col</t>
  </si>
  <si>
    <t>HTML_Execution</t>
  </si>
  <si>
    <t>HTML_Souffle</t>
  </si>
  <si>
    <t>HTML_Concentration</t>
  </si>
  <si>
    <t>HTML_apprentissage</t>
  </si>
  <si>
    <t>Caractéristique</t>
  </si>
  <si>
    <t>Vivacité</t>
  </si>
  <si>
    <t>Adresse</t>
  </si>
  <si>
    <t>Vigueur</t>
  </si>
  <si>
    <t>HTML_effets</t>
  </si>
  <si>
    <t>HTML_Adrénaline</t>
  </si>
  <si>
    <t>HTML</t>
  </si>
  <si>
    <t>HTML_suffix</t>
  </si>
  <si>
    <t>&lt;/div&gt;</t>
  </si>
  <si>
    <t>&lt;div class="comp"&gt;</t>
  </si>
  <si>
    <t>&lt;table class="spec"&gt;&lt;tr&gt;&lt;td class="left"&gt;</t>
  </si>
  <si>
    <t>&lt;/td&gt;&lt;td class="right"&gt;</t>
  </si>
  <si>
    <t>HTML_ligne</t>
  </si>
  <si>
    <t>Point faible</t>
  </si>
  <si>
    <t>Un coup simple et rapide pour frapper au plus vite.</t>
  </si>
  <si>
    <t>Encore plus vite !</t>
  </si>
  <si>
    <t>Enchainement</t>
  </si>
  <si>
    <t>Le personnage annonce le nombre d'attaque qu'il va tenter. Ce nombre étant compris entre 1 et 4. Ces attaques peuvent être réparties entre n'importe quelles cibles à portée. Chaque attaque subit un malus à l'attaque de -3 par attaque tentée (c’est-à-dire que s'il tente 3 attaques enchainées, chaque attaque subira un malus de -9). Dès qu'une attaque est échouée, l'enchainement s'arrête.</t>
  </si>
  <si>
    <t>Un coup visant une zone précise pour un effet maximal. Lors de l'attaque, le personnage lance deux dés de localisation et choisit celui qui l'intéresse.</t>
  </si>
  <si>
    <t>Les attaques de la voie de la précision ignorent l'armure de la cible si les jets de localisation forment une paire</t>
  </si>
  <si>
    <t>Encore plus précis !</t>
  </si>
  <si>
    <t>Avec ce coup le personnage ne jette pas de dé de localisation mais choisit la zone atteinte. En contrepartie, le jet d'attaque subit un malus de -5.</t>
  </si>
  <si>
    <t>Répétition</t>
  </si>
  <si>
    <t>Sur cette attaque, si le jet de localisation ne convient pas au personnage, il peut choisir à la place une autre zone qu'il a précédemment touché sur cette cible.</t>
  </si>
  <si>
    <t>Un coup lent et imprécis mais avec un impact colossal. Le score d'attaque subit un malus de -4.</t>
  </si>
  <si>
    <t>Une attaque puissante qui inflige un malus de  -5 à toute parade qui lui est opposée.</t>
  </si>
  <si>
    <t>Une attaque flugurente qui inflige un malus de -5 à toute esquive qui lui est opposée.</t>
  </si>
  <si>
    <t>Interception</t>
  </si>
  <si>
    <t>Attaque d'opportunité</t>
  </si>
  <si>
    <t xml:space="preserve">Lorsqu'un adversaire à portée réalise une action autre qu'une action de combat, le personnage peut placer une attaque sans réponse possible. La cible ne peut pas la défendre (ni parade, ni esquive) mais ne doit pas réaliser de test de &lt;span class="jauge"&gt;Bravoure&lt;/span&gt; non plus. </t>
  </si>
  <si>
    <t>Charge</t>
  </si>
  <si>
    <t>Après avoir réalisé un déplacement de plus de 5m qui l'amène à portée de sa cible, le personnage profite de son élan pour asséner un coup dévastateur.</t>
  </si>
  <si>
    <t>Après avoir réalisé un déplacement de plus de 5m qui l'amène à portée de sa cible, le personnage engage toute son énergie dans un coup meurtrier. Celui-ci devra réussir un test de &lt;span class="stat"&gt;Vigueur&lt;/span&gt; opposé ou être déstabilisé pour 1 tour.&lt;br /&gt;Le personnage quant à lui subit des dégâts égaux au quart de sa &lt;span class="stat"&gt;Vigueur&lt;/span&gt; mais augmente les dégâts de son attaque de la moitié de sa &lt;span class="stat"&gt;Vigueur</t>
  </si>
  <si>
    <t>Charge féroce</t>
  </si>
  <si>
    <t>Frappe du colosse</t>
  </si>
  <si>
    <t>L'attaque magistrale gagne un bonus de dégâts égal au quart de la &lt;span class="stat"&gt;Vigueur&lt;/span&gt; du personnage.</t>
  </si>
  <si>
    <t>Endurant</t>
  </si>
  <si>
    <t>Contre-attaque</t>
  </si>
  <si>
    <t>Le personnage utilise une arme à projectile (arc, javelot, ou tout autre arme improvisée) pour atteindre un ennemi à distance. Pour déterminer s’il touche, il doit réussir un test d’&lt;span class="stat"&gt;Adresse&lt;/span&gt; à 20 avec les bonus/malus suivants :
    &lt;br /&gt;
    &lt;table class="tab_reset stab1"&gt;
     &lt;tr&gt;&lt;th&gt;Situation&lt;/th&gt;&lt;th&gt;Bonus/malus&lt;/th&gt;&lt;/tr&gt;
     &lt;tr&gt;&lt;td&gt;Cible à courte portée*&lt;/td&gt;&lt;td&gt;+4&lt;/td&gt;&lt;/tr&gt;
     &lt;tr&gt;&lt;td&gt;Cible en mouvement**&lt;/td&gt;&lt;td&gt;-4&lt;/td&gt;&lt;/tr&gt;
     &lt;tr&gt;&lt;td&gt;Cible de grande taille&lt;/td&gt;&lt;td&gt;+4&lt;/td&gt;&lt;/tr&gt;
     &lt;tr&gt;&lt;td&gt;Cible sprintant&lt;/td&gt;&lt;td&gt;-6&lt;/td&gt;&lt;/tr&gt;
     &lt;tr&gt;&lt;td&gt;Cible zigzagant&lt;/td&gt;&lt;td&gt;-10&lt;/td&gt;&lt;/tr&gt;
     &lt;tr&gt;&lt;td&gt;Cible agenouillée&lt;/td&gt;&lt;td&gt;-2&lt;/td&gt;&lt;/tr&gt;
     &lt;tr&gt;&lt;td&gt;Cible allongée&lt;/td&gt;&lt;td&gt;-4&lt;/td&gt;&lt;/tr&gt;
     &lt;tr&gt;&lt;td&gt;Cible de petite taille&lt;/td&gt;&lt;td&gt;-4&lt;/td&gt;&lt;/tr&gt;
     &lt;tr&gt;&lt;td&gt;Tirer au corps à corps&lt;/td&gt;&lt;td&gt;-6&lt;/td&gt;&lt;/tr&gt;
     &lt;tr&gt;&lt;td&gt;Cible à couvert&lt;/td&gt;&lt;td&gt;-6***&lt;/td&gt;&lt;/tr&gt;
    &lt;/table&gt;
    &lt;i&gt;* est considéré comme à courte portée si la cible est à moins de 10m du tireur.&lt;/i&gt;&lt;br /&gt;
    &lt;i&gt;** est considéré comme en mouvement tout personnage ayant passé sa dernière action à se déplacer.&lt;/i&gt;
    &lt;i&gt;*** valeur à adapter par le mj selon l'importance du couvert. Un malus de -6 correspond à une cible ayant 50% de son corps protégé par un élément.&lt;/i&gt;
    &lt;br /&gt;
    &lt;br /&gt;
    Une fois la cible touchée, la résolution des dégâts est identique à une attaque au corps à corps (localisation, armure, …) en utilisant les dégâts du profil distance.</t>
  </si>
  <si>
    <t>Longue distance</t>
  </si>
  <si>
    <t>La distance de la courte portée passe à 20m.</t>
  </si>
  <si>
    <t>Au corps à corps, si le personnage pense pouvoir éviter l’attaque de son adversaire, il peut utiliser une action pour tenter de l’esquiver. Dans ce cas, son score de défense sera égal à sa &lt;span class="stat"&gt;Vivacité&lt;/span&gt; plus un D20.&lt;br /&gt;Si sa défense est plus grande que le score d'attaque, le coup est évité.&lt;br /&gt;Un personnage en armure lourde ne peut pas esquiver.</t>
  </si>
  <si>
    <t>Esquive en armure lourde</t>
  </si>
  <si>
    <t>Le personnage peut désormais tenter des esquives en armure lourde. Il subira néanmoins un malus de -4.</t>
  </si>
  <si>
    <t>Esquive de projectile</t>
  </si>
  <si>
    <t>Si le personnage est la cible d’un projectile, il peut tenter de l’esquiver avec un malus de -4. Il opposera alors sa défense au résultat du test d'&lt;span class="stat"&gt;Adresse&lt;/span&gt; du tireur (ou du test d'&lt;span class="stat"&gt;Intelligence&lt;/span&gt; pour un projectile magique).</t>
  </si>
  <si>
    <t>Plongeon</t>
  </si>
  <si>
    <t>Le personnage se déplace d’un mouvement maximal de 8m. Si le terrain est difficilement praticable (gravats, végétation dense, …) le personnage doit diviser sa vitesse par deux ou réussir un test d’&lt;span class="stat"&gt;Adresse&lt;/span&gt; à 15 pour ne pas chuter.&lt;br /&gt;S’agenouiller et s’accroupir se font sans pénalité, par contre s’allonger et se relever réduisent la distance de déplacement de 3m. 
    &lt;br /&gt;Il est possible d'associer une course avec une autre action. Dans ce cas, additionner les valeurs d'Execution, de &lt;span class="jauge"&gt;Souffle&lt;/span&gt; et de &lt;span class="jauge"&gt;Concentration&lt;/span&gt;. Par contre les 2 actions doivent être réalisées l'une après l'autre (il n'est pas possible de se déplacer de la moitié de son mouvement, puis faire une action, puis terminer le mouvement).</t>
  </si>
  <si>
    <t>Avant ou après avoir réalisé une action autre que courir, le personnage peut se déplacer de 3m.</t>
  </si>
  <si>
    <t>Le personnage plonge sur le côté pour éviter l'attaque. Cette action se réalise comme une esquive mais permet en plus au personnage de se déplacer d'1m dans la direction de son choix.</t>
  </si>
  <si>
    <t>Parer</t>
  </si>
  <si>
    <t>Esquiver</t>
  </si>
  <si>
    <t>Parade de projectile</t>
  </si>
  <si>
    <t>Robustesse</t>
  </si>
  <si>
    <t>Encaisser un coup</t>
  </si>
  <si>
    <t>Cicatrisation hors norme</t>
  </si>
  <si>
    <t>Le personnage retire 1D3 blessures superficielles à la fin d'un combat.</t>
  </si>
  <si>
    <t>Dur à cuire</t>
  </si>
  <si>
    <t>Le seuil de blessure critique est augmenté de +5.</t>
  </si>
  <si>
    <t>Maitre d'arme</t>
  </si>
  <si>
    <t>Maitrise de l'arme</t>
  </si>
  <si>
    <t>Position défensive</t>
  </si>
  <si>
    <t>En adoptant cette posture, le personnage se tourne résoluement vers la défense. Pendant 3 tours il gagne un bonus +1 à ses parades et esquives au prix d'un malus de -1 en attaque. Passer en position défensive ne prend pas de temps mais doit être déclaré en début d'action du personnage.</t>
  </si>
  <si>
    <t>Maitre de l'esquive</t>
  </si>
  <si>
    <t>Maitre de la parade</t>
  </si>
  <si>
    <t>Pour chaque niveau dans cette compétence, le personnage gagne un bonus de +2 à ses parades.</t>
  </si>
  <si>
    <t>Pour chaque niveau dans cette compétence, le personnage gagne un bonus de +2 à ses esquives.</t>
  </si>
  <si>
    <t>Le personnage choisit une arme (dague, arc long, ...) qu'il va maitriser au maximum. Il gagne un bonus de +1 aux dégâts lorsqu'il qu'il utilise cette arme. De plus il peut s'entrainer à raison de séances d'une heure minimum pour continuer son amélioration. Une heure d'entrainement génère 1 point de &lt;span class="jauge"&gt;Fatigue&lt;/span&gt;. Au bout de 5h d'entrainement, le personnage gagne également +1 à ses jets d'attaque réalisés avec cette arme. A chaque fois que le personnage améliore cette compétence, il peut bénéficier de ces 2 points d'amélioration.</t>
  </si>
  <si>
    <t>Au corps à corps, si le personnage pense pouvoir bloquer l’attaque de son adversaire, il peut utiliser une action pour tenter de la parer. Dans ce cas, il doit utiliser une arme ou un bouclier et son score de défense sera égal à son &lt;span class="stat"&gt;Adresse&lt;/span&gt; un D20.&lt;br /&gt;Si sa défense est plus grande que l’attaque, les dégâts de l'attaque sont réduis de la valeur haute de parade de l'arme. Si la parade est un échec, les dégâts sont tout de même réduits mais de la valeur basse de parade de l'arme.</t>
  </si>
  <si>
    <t>Lancer un sort</t>
  </si>
  <si>
    <t>Sorcellerie</t>
  </si>
  <si>
    <t>Intelligence</t>
  </si>
  <si>
    <t>Bien que cette action semble accessible à tous les individus, seuls les rares mages dotés de talent et de savoir peuvent réellement manipuler l’énergie magique.&lt;br /&gt;Lorsque le personnage souhaite lancer un sort, il doit réussir à canaliser assez d’énergie en lui : c’est le seuil de puissance du sort. Pour générer cette énergie, le mage additionne son &lt;span class="stat"&gt;Intelligence&lt;/span&gt; et un D20. Il peut aussi ajouter un nombre de points de &lt;span class="jauge"&gt;Concentration&lt;/span&gt;s au choix. (Le mage choisit ce nombre avant de lancer son dé). Chaque point de &lt;span class="jauge"&gt;Concentration&lt;/span&gt; dépensé donne un bonus de +5 au total&lt;br /&gt;Si ce score est inférieur au seuil de puissance du sort, le mage n’a pas réussi à se concentrer assez rapidement et le sort est perdu (l’action est perdue et les points de &lt;span class="jauge"&gt;Concentration&lt;/span&gt; aussi). Sinon, le sort est lancé avec succès.&lt;br /&gt;Si de plus ce score est supérieur au seuil critique du sort, celui-ci est lancé à sa puissance maximale.&lt;br /&gt;&lt;br /&gt;Enfin si le sort lancé est un projectile magique, le mage doit également toucher sa cible avec. Le principe est identique à l’attaque à distance (test d’&lt;span class="stat"&gt;Adresse&lt;/span&gt;, bonus/malus, …) à la différence près que le mage utilise son &lt;span class="stat"&gt;Intelligence&lt;/span&gt; et non son &lt;span class="stat"&gt;Adresse&lt;/span&gt; pour effectuer le test.&lt;br /&gt;Pour lancer un sort, le personnage a besoin de parler et doit pouvoir faire suffisamment de mouvements. Ainsi, s’il se retrouve ligoté ou bâillonné, il ne pourra utiliser cette compétence.</t>
  </si>
  <si>
    <t>Spécialiste des projectiles</t>
  </si>
  <si>
    <t>*</t>
  </si>
  <si>
    <t>Pour les projectiles magiques, les points de &lt;span class="jauge"&gt;Concentration&lt;/span&gt; dépensés  pour lancer le sort sont également appliqués en bonus pour déterminer si le projectile atteint sa cible.</t>
  </si>
  <si>
    <t>Incantation ajustée</t>
  </si>
  <si>
    <t>Après avoir jeté son dé de sort, le mage peut décider de rajouter des points de &lt;span class="jauge"&gt;Concentration&lt;/span&gt; pour réussir à lancer le sort. Chaque point ajouté ne donne alors qu'un bonus de +2 au total.</t>
  </si>
  <si>
    <t>Sorcellerie de combat</t>
  </si>
  <si>
    <t>Mage combattant</t>
  </si>
  <si>
    <t>Lancer un sort devient une action de combat.</t>
  </si>
  <si>
    <t>Résister à un sort</t>
  </si>
  <si>
    <t>Mains brulantes</t>
  </si>
  <si>
    <t>Quand le personnage lance un projectile magique sur une cible au corps à corps, il touche automatiquement.</t>
  </si>
  <si>
    <t>Se sentant affecté par les effets d’un sort, le personnage peut décider de lui résister et focalise son attention pour ce protéger (la décision est donc prise après avoir déterminé si le sort touche sa cible). Dans ce cas, il additionne son &lt;span class="stat"&gt;Intelligence&lt;/span&gt;, un D20 et un nombre de points de &lt;span class="jauge"&gt;Concentration&lt;/span&gt; de son choix. Chaque point de &lt;span class="jauge"&gt;Concentration&lt;/span&gt; donne un bonus de +5 au total. Si le résultat est supérieur au total du lanceur du sort, ses effets sont annulés. Cette défense n'est pas possible si le sort est un projectile magique.</t>
  </si>
  <si>
    <t>Avant de tenter une parade ou une esquive, le personnage annonce qu'il va contre-attaquer. Si la défense (subissant un malus de -5) est réussie, il pourra enchainer sur un coup rapide. Le temps total de l'action sera alors égal à la &lt;span class="stat"&gt;Réactivité&lt;/span&gt; du personnage + temps d'exécution de la défense + temps d'exécution du coup rapide.</t>
  </si>
  <si>
    <t>Débrouillard</t>
  </si>
  <si>
    <t>Réduit de 2 les prérequis à l'utilisation des armes et armures</t>
  </si>
  <si>
    <t>Fourberie</t>
  </si>
  <si>
    <t>Feinte</t>
  </si>
  <si>
    <t>Le personnage change au dernier moment la trajectoire de son attaque pour tromper son adversaire. Le coup gagne un bonus de +4 en attaque.</t>
  </si>
  <si>
    <t>Coup dans le dos</t>
  </si>
  <si>
    <t>Le personnage profite d'une distraction de son adversaire pour amplifier ses dégâts. Chaque niveau dans cette compétence augmente de +1 l'attaque et les dégâts infligés à un ennemi qui vient de réaliser une action de combat ciblé vers un autre personnage</t>
  </si>
  <si>
    <t>Déstabilisation</t>
  </si>
  <si>
    <t>Un pied qui traine, un coup d'épaule, le personnage profite de son attaque pour mettre en péril l’équilibre de son adversaire. Que l'attaque touche ou pas, il tente un duel de caractéristiques basé sur la &lt;span class="stat"&gt;Vivacité&lt;/span&gt;. En cas de succès, la cible est déstabilisée pour 1D3 tours.</t>
  </si>
  <si>
    <t>Accrobate</t>
  </si>
  <si>
    <t>Pied sûr</t>
  </si>
  <si>
    <t>Lorsqu'il rate un test d'&lt;span class="stat"&gt;Adresse&lt;/span&gt; à cause d'un terrain difficile, il peut relancer le test.</t>
  </si>
  <si>
    <t>Agilité hors norme</t>
  </si>
  <si>
    <t>Récupérer</t>
  </si>
  <si>
    <t>Le personnage souffle un bon coup récupérant 2 points de &lt;span class="jauge"&gt;Souffle&lt;/span&gt; et de &lt;span class="jauge"&gt;Concentration&lt;/span&gt;.</t>
  </si>
  <si>
    <t>Double maniement</t>
  </si>
  <si>
    <t>Coup croisé</t>
  </si>
  <si>
    <t>Avec deux armes, le personnage porte une attaque simultanée des deux côtés de son adversaire. C'est l'arme principale qui est considérée comme portant l'attaque (pas de jet de dé pour l'arme secondaire). Si l'adversaire veut parer le coup, il doit réaliser une parade pour chaque arme, par contre il peut esquiver les deux coups en une esquive. L'attaque aura un malus de -5 en attaque.</t>
  </si>
  <si>
    <t>Frappe économe</t>
  </si>
  <si>
    <t>Un coup simple permettant de récupérer 1 point de &lt;span class="jauge"&gt;Souffle&lt;/span&gt; dans le combat tout en maintenant l'agression.</t>
  </si>
  <si>
    <t>Arts martiaux</t>
  </si>
  <si>
    <t>Combat à mains nues</t>
  </si>
  <si>
    <t>Mains puissantes</t>
  </si>
  <si>
    <t>Coups déstabilisants</t>
  </si>
  <si>
    <t>Déluge de coup</t>
  </si>
  <si>
    <t>Les actions de combat de la voie des arts martiaux qui sont basées sur la &lt;span class="stat"&gt;Vigueur&lt;/span&gt; ont leurs dégâts augmentés du quart de la &lt;span class="stat"&gt;Vigueur&lt;/span&gt;.</t>
  </si>
  <si>
    <t>Frappe vicieuse</t>
  </si>
  <si>
    <t>Le personnage tente une attaque particulièrement vicieuse pour infliger un maximum de dégâts. L’attaque subira un malus de -5 pour toucher mais en cas de succès, les dégâts seront augmentés du quart de l’&lt;span class="stat"&gt;Adresse&lt;/span&gt; du personnage.</t>
  </si>
  <si>
    <t>Posture offensive</t>
  </si>
  <si>
    <t>En adoptant cette posture, le personnage se tourne résolument vers l'offensive. Pendant 3 tours il gagne un bonus de +1 en attaque au prix d'un malus de -1 en défense. Passer en position offensive ne prend pas de temps mais doit être déclaré en début d'action du personnage.</t>
  </si>
  <si>
    <t>Tir double</t>
  </si>
  <si>
    <t>Le personnage enclenche deux flèches sur son arc ou arbalète et les décoche vers une cible unique. La portée est alors réduite de 10, les dégâts de chaque flèche de 4 et l’&lt;span class="stat"&gt;Adresse&lt;/span&gt; de 4. Un seul jet de localisation est utilisé mais l'armure est appliquée pour chaque flèche.</t>
  </si>
  <si>
    <t>Tir précis</t>
  </si>
  <si>
    <t>Sur ce tir, le personnage ignore le malus pour toucher le plus impactant.</t>
  </si>
  <si>
    <t>Sang-froid</t>
  </si>
  <si>
    <t>Courage</t>
  </si>
  <si>
    <t>Bravoure</t>
  </si>
  <si>
    <t>Lorsqu'il décide d'encaisser une attaque, le test de &lt;span class="stat"&gt;Courage&lt;/span&gt; passe à 15.</t>
  </si>
  <si>
    <t>Réponse adaptée</t>
  </si>
  <si>
    <t>Lorsque le personnage encaisse une attaque basée sur un profil rapide, il n'a pas besoin de réaliser un jet de &lt;span class="stat"&gt;Courage&lt;/span&gt;.</t>
  </si>
  <si>
    <t>Encore un effort</t>
  </si>
  <si>
    <t>En cas d'échec d'un jet de &lt;span class="stat"&gt;Courage&lt;/span&gt;, le personnage peut dépenser 1 point de  &lt;span class="jauge"&gt;Concentration&lt;/span&gt; pour relancer son jet.</t>
  </si>
  <si>
    <t>Sauter, grimper et faire des accrobaties sont choses aisées pour le personnage qui gagne un bonus de +5 aux jets pour évaluer un déplacement ou une accrobatie.</t>
  </si>
  <si>
    <t>Avec les actions de combat de la voie des arts martiaux basées sur l'&lt;span class="stat"&gt;Adresse&lt;/span&gt; et en cas d'attaque qui touche, le personnage peut déplacer son adversaire (de taille équivalente) d'1m dans n'importe quelle direction.</t>
  </si>
  <si>
    <t>Les actions de combat de la voie des arts martiaux qui sont basées sur l'&lt;span class="stat"&gt;Vivacité&lt;/span&gt; sont particulièrement complexes à contrer. Le défenseur subit un malus de -10 à ses esquives et parades.</t>
  </si>
  <si>
    <t>Sprinter</t>
  </si>
  <si>
    <t>Les distances des actions de la voie du Déplacement sont augmentées de 1. De plus le test d'&lt;span class="stat"&gt;Adresse&lt;/span&gt; pour ne pas chuter en cas de terrain difficile est réduit à 12.</t>
  </si>
  <si>
    <t>Une action qui permet au personnage de se déplacer de 12m.</t>
  </si>
  <si>
    <t>Ordre voie</t>
  </si>
  <si>
    <t>Le personnage réalise deux attaques consécutives sur la même cible. Ces deux attauqes sont réalisées avec deux armes différentes</t>
  </si>
  <si>
    <t>Si le personnage est la cible d’un projectile, il peut tenter une parade avec un malus de -8. Il opposera alors sa défense au résultat du test d'&lt;span class="stat"&gt;Adresse&lt;/span&gt; du tireur (ou du test d'&lt;span class="stat"&gt;Intelligence&lt;/span&gt; pour un projectile magique). Le malus descend à -2 si cette parade est réalisée avec un bouclier.</t>
  </si>
  <si>
    <t>Parade déstabilisante</t>
  </si>
  <si>
    <t>Lorsqu’il subit une attaque ciblée (coup, projectile, ...) celle-ci atteint une zone précise selon le schéma de localisation. Pour déterminer cette zone, lancer un dé à 12 faces et référez vous au tableau suivant (illustration dans la section Equipement – Armures). 
    &lt;br /&gt;
    &lt;table class="tab_reset stab1"&gt;
     &lt;tr&gt;&lt;th&gt;Zone&lt;/th&gt;&lt;th&gt;Nom&lt;/th&gt;&lt;/tr&gt;
     &lt;tr&gt;&lt;td&gt;1&lt;/td&gt;&lt;td&gt;Tête&lt;/td&gt;&lt;/tr&gt;
     &lt;tr&gt;&lt;td&gt;2,&amp;nbsp;3,&amp;nbsp;6&lt;/td&gt;&lt;td&gt;Buste&lt;/td&gt;&lt;/tr&gt;
     &lt;tr&gt;&lt;td&gt;4,&amp;nbsp;7&lt;/td&gt;&lt;td&gt;Bras gauche&lt;/td&gt;&lt;/tr&gt;
     &lt;tr&gt;&lt;td&gt;5,&amp;nbsp;8&lt;/td&gt;&lt;td&gt;Bras droit&lt;/td&gt;&lt;/tr&gt;  
     &lt;tr&gt;&lt;td&gt;9,&amp;nbsp;11&lt;/td&gt;&lt;td&gt;Jambe gauche&lt;/td&gt;&lt;/tr&gt;
     &lt;tr&gt;&lt;td&gt;10,&amp;nbsp;12&lt;/td&gt;&lt;td&gt;Jambe droite&lt;/td&gt;&lt;/tr&gt;
    &lt;/table&gt;</t>
  </si>
  <si>
    <t>Avant de tenter une parade contre une attaque au corps à corps, le personnage annonce qu'il va tenter de déstabiliser son adversaire. En cas de succès de la parade, l'adversaire se retrouve &lt;span class="etat"&gt;Déstabilisé&lt;/span&gt;.</t>
  </si>
  <si>
    <t>Parade riposte</t>
  </si>
  <si>
    <t>Avant de tenter une parade contre une attaque au corps à corps, le personnage annonce qu'il va tenter de riposter. En cas de succès de la parade avec un malus de -5, le personnage enchaine avec une attaque basée sur un profil rapide ou précis et bénéficie d'un bonus de +10 à son attaque.</t>
  </si>
  <si>
    <t>Quand il se bat avec ses points le personnage inflige 1D8 dégâts et choisit entre la &lt;span class="stat"&gt;Vivacité&lt;/span&gt;, l'&lt;span class="stat"&gt;Adresse&lt;/span&gt; et la &lt;span class="stat"&gt;Vigueur&lt;/span&gt; comme caractéristique d'attaque. Selon la caractéristique choisie, l'attaque est considérée comme étant associé au profil rapide, précis ou puissant.</t>
  </si>
  <si>
    <t>Coup de bouclier</t>
  </si>
  <si>
    <t>Un coup peu puissant mais qui déstabilise l'adversaire si l'attaque touche (peu importe si des dégâts sont infligés)</t>
  </si>
  <si>
    <t>Protecteur</t>
  </si>
  <si>
    <t>Si le personnage est au contact d'un allié pris pour cible par un ennemi, il peut réaliser une parade pour protéger son allié. L'allié aussi peut décider de réagir à l'attaque (en parant ou en esquivant par exemple). L'allié prend sa décision, puis le personnage et enfin les actions sont résolues. La parade réalisée par le personnage nécessitera un surcout en concentration et subira un malus de -5.</t>
  </si>
  <si>
    <t>Tir rapide</t>
  </si>
  <si>
    <t>Le tir subit un malus de -5 pour toucher et -2 au dégâts.</t>
  </si>
  <si>
    <t>Tir d'ajustement</t>
  </si>
  <si>
    <t>Le personnage effectue un tir ayant pour bout de trouver ses marques. Les dégâts de l'attaque sont divisés par deux mais si l'attaque touche (peu importe que des dégâts soient infligés), toutes les prochaines attaques du profil Distant auront un bonus de +5 pour toucher jusqu'à ce que la cible ce soit déplacée de plus de 2m.</t>
  </si>
  <si>
    <t>Assassinat</t>
  </si>
  <si>
    <t>Pose des pièges</t>
  </si>
  <si>
    <t>Le personnage sait poser la plupart des pièges.</t>
  </si>
  <si>
    <t>Discrétion</t>
  </si>
  <si>
    <t>Grâce à cette compétence, le personnage peut diminuer ses chances d’etre repéré. Lorsqu’il utilise une armure légère, il peut se déplacer sans émettre de son et en se cachant dans les ombres. Il ne sera détecté que par une personne le cherchant activement. Pour le détecter, celle-ci devra alors réussir un test opposé sur l'&lt;span class="stat"&gt;Intuition &lt;/span&gt; contre l'Adresse du personnage.</t>
  </si>
  <si>
    <t>Sortie des ombres</t>
  </si>
  <si>
    <t>Une attaque pouvant être réalisée uniquement sur une cible ignorant la présence du personnage. La cible ne peut pas réagir face à cette attaque et subira les dégâts maximums.</t>
  </si>
  <si>
    <t>Peau de fer</t>
  </si>
  <si>
    <t>Le personnage est doté d’une constitution à toute épreuve. Il réduit les dégâts provenant d’une attaque physique de 2 points.</t>
  </si>
  <si>
    <t>Second souffle</t>
  </si>
  <si>
    <t>Regain d'attention</t>
  </si>
  <si>
    <t>Mutilation</t>
  </si>
  <si>
    <t>Le personnage s'inflige lui même une blessure pour générer de l'adrénaline. Sur un test de &lt;span class="stat"&gt;Vigueur&lt;/span&gt; à 12 réussi, il s'inflige une blessure superficielle sur la localisation de son choix et gagne 2 points d'&lt;span class="jauge"&gt;Adrénaline&lt;/span&gt;. Le personnage n'a pas besoin de réaliser le test de résistance à la douleur lié à la blessure sauf si celle-ci transforme une blessure superficielle en blessure plus grave.</t>
  </si>
  <si>
    <t>Berseker</t>
  </si>
  <si>
    <t>Frénésie</t>
  </si>
  <si>
    <t>Le personnage décide de rentrer en frénésie au début de son tour sans cout. A partir de ce moment et jusqu'à ce que le personne ne dispose de plus aucun point d'&lt;span class="jauge"&gt;Adrénaline&lt;/span&gt;, chaque point d'&lt;span class="jauge"&gt;Adrénaline&lt;/span&gt; augmente les dégâts infligés par les attaques au corps à corps de +2. En contrepartie, chaque attaque échouée ou chaque action autre qu'une attaque fait perdre 1 point d'&lt;span class="jauge"&gt;Adrénaline&lt;/span&gt;.</t>
  </si>
  <si>
    <t>Furie guerrière</t>
  </si>
  <si>
    <t xml:space="preserve"> A déclencher au début d'un tour. Chaque ennemi defait au combat dans un rayon de 10m donne un bonus de +5 pour résister à la douleur pour 3 tours (les effets se cumulent et chaque nouvel effet renouvelle la durée).</t>
  </si>
  <si>
    <t>Brute</t>
  </si>
  <si>
    <t>Retenir</t>
  </si>
  <si>
    <t>Prise au corps</t>
  </si>
  <si>
    <t>Fauchage</t>
  </si>
  <si>
    <t>Empêche un adversaire de rompre le combat. Lorsqu'un ennemi tente une action qui lui ferait quitter le corps à corps avec le personnage celui-ci peut tenter de le retenir. Le personnage réalise un test opposé de sa &lt;span class="stat"&gt;Vigueur&lt;/span&gt; contre la &lt;span class="stat"&gt;Vivacité&lt;/span&gt; ou la &lt;span class="stat"&gt;Vigueur&lt;/span&gt; de sa cible (au choix de la cible). En cas du succès, l'adversaire perd son action (le Souffle, la Concentration, Réactivité, ... sont tout de même dépensés)</t>
  </si>
  <si>
    <t>Le personnage se saisit d'un adversaire pour l'empecher d'agir. Le personnage effectue un test opposé de sa &lt;span class="stat"&gt;Vigueur&lt;/span&gt; contre la &lt;span class="stat"&gt;Vigueur&lt;/span&gt; ou &lt;span class="stat"&gt;Adresse&lt;/span&gt; de l'adversaire (au choix de ce dernier). En cas de réussite, l'adversaire ne pourra que tenter de se libérer (action 1 Exécution, 1 Souffle) en réussissant un test de &lt;span class="stat"&gt;Vigueur&lt;/span&gt; opposé. Le personnage peut maintenir cette position à chaque tour tant qu'il continue à dépenser son &lt;span class="jauge"&gt;Souffle&lt;/span&gt; et peut se déplacer avec sa victime de la moitié de son mouvement.</t>
  </si>
  <si>
    <t>Le personnage lance une attaque circulaire en direction des jambes de son adversaire. Les localisations atteignables ne sont que les jambes et l’attaque subit un malus de -5 mais si celle-ci touche, l’ennemi doit réussir un test de &lt;span class="stat"&gt;Vigueur&lt;/span&gt; à 20 ou tomber au sol. Si celui-ci venait de se déplacer le test subit un malus de -5.</t>
  </si>
  <si>
    <t>Protection</t>
  </si>
  <si>
    <t>Expert en armures</t>
  </si>
  <si>
    <t>La protection des armures est augmentée de 1.</t>
  </si>
  <si>
    <t>Encouragement</t>
  </si>
  <si>
    <t>Chant fortifiant</t>
  </si>
  <si>
    <t>Prestance</t>
  </si>
  <si>
    <t>Tenez bon !</t>
  </si>
  <si>
    <t>Chant entrainant</t>
  </si>
  <si>
    <t>Chant de guerre</t>
  </si>
  <si>
    <t>Lorsque le personnage chante cette mélodie, ses alliés ressentent une bouffée d'énergie nouvelle.
Tout allié à moins de 5 mètres regagne 1 point de &lt;span class="jauge"&gt;Moral&lt;/span&gt;.
Ce bonus ne peut être appliqué qu'une fois par jour par personnage.</t>
  </si>
  <si>
    <t>Temps que ce chant est actif, fous les aliés à 5m du personnage peuvent utiliser la valeur de &lt;span class="stat"&gt;Prestance&lt;/span&gt; du chanteur  pour une de leurs actions (même si l'action n'est pas basée sur la &lt;span class="stat"&gt;Prestance&lt;/span&gt;). Cet effet ne peut être utilisé qu'une fois par heure. Une fois le chant démarré, le personnage peut le continuer sans surcout tout en réalisant des actions innées.</t>
  </si>
  <si>
    <t>Une fois par heure, si le personnage tombe à 0 points de &lt;span class="jauge"&gt;Souffle&lt;/span&gt; et doit prendre 1 point de &lt;span class="jauge"&gt;Fatigue&lt;/span&gt;, il regagne 2 points de &lt;span class="jauge"&gt;Souffle&lt;/span&gt; à la place.</t>
  </si>
  <si>
    <t>Une fois par heure, si le personnage tombe à 0 points de &lt;span class="jauge"&gt;Concentration&lt;/span&gt; et doit prendre 1 point de &lt;span class="jauge"&gt;Fatigue&lt;/span&gt;, il regagne 2 points de &lt;span class="jauge"&gt;Concentration&lt;/span&gt; à la place.</t>
  </si>
  <si>
    <t>Le personnage encourage ses alliés dans la bataille. Tous les aliés à 5m du personnage gagnent un bonus de &lt;span class="stat"&gt;Prestance&lt;/span&gt;/10 (minimum 1) pour résister à la Peur et à la Douleur temps que le personnage chante. Une fois le chant démarré, le personnage peut le continuer sans surcout tout en réalisant des actions innées.</t>
  </si>
  <si>
    <t>Lorsque le personnage chante cette mélodie, ses alliés ressentent une paix intérieure revigorante.&lt;br /&gt;
Tout allié à moins de 5 mètres regagne  &lt;span class="stat"&gt;Prestance&lt;/span&gt;/10 (minimum 1) points de &lt;span class="jauge"&gt;Concentration&lt;/span&gt; et de&lt;span class="jauge"&gt; Souffle&lt;/span&gt;.</t>
  </si>
  <si>
    <t>Frayeur</t>
  </si>
  <si>
    <t>Intimider</t>
  </si>
  <si>
    <t>Le personnage inspire la terreur aux ennemis à son contact qui doivent réussir un test opposé de &lt;span class="stat"&gt;Bravoure&lt;/span&gt; contre la caracéristique la plus élevée du personnage/2 au début de leur tour ou gagner un point de &lt;span class="jauge"&gt;Peur&lt;/span&gt;.&lt;br /&gt;Un seul point de &lt;span class="jauge"&gt;Peur&lt;/span&gt; peut être gagné de cette façon par cible.</t>
  </si>
  <si>
    <t>Le personnage intimide une cible à 10m qui peut le voir et l'entendre. Celle-ci doit réussir un test opposé de &lt;span class="stat"&gt;Bravoure&lt;/span&gt; contre la caracéristique la plus élevée du personnage ou gagner un point de &lt;span class="jauge"&gt;Peur&lt;/span&gt;. &lt;br /&gt;Un seul point de &lt;span class="jauge"&gt;Peur&lt;/span&gt; peut être gagné de cette façon par cible.</t>
  </si>
  <si>
    <t>Présence effrayante</t>
  </si>
  <si>
    <t>Terrifiant</t>
  </si>
  <si>
    <t>Les compétences de la voie de la Frayeur peuvent désormais faire perdre jusqu'à 2 points de &lt;span class="jauge"&gt;Peur&lt;/span&gt; par compétence.</t>
  </si>
  <si>
    <t>Connaissances de la magie</t>
  </si>
  <si>
    <t>Grâce à ses nombreux apprentissages, le personnage est capable de reconnaître l’ensemble des sorts dont le malus d’apprentissage est inférieur ou égal à 20.</t>
  </si>
  <si>
    <t>Maitrise de la magie XXX</t>
  </si>
  <si>
    <t>Le personnage devient spécialiste dans l’utilisation de ce domaine de magie. Il gagne automatique un bonus de +1 pour lancer les sorts de ce domaine.</t>
  </si>
  <si>
    <t>Faément mineur</t>
  </si>
  <si>
    <t>Le personnage charge un sort dans un réceptacle pour que celui-ci soit déclenché lorsque les conditions nécessaires seront remplies.
Pour préparer le faément, le personnage doit au préalable :
&lt;br /&gt;&lt;br /&gt;&lt;ul&gt;
    &lt;li&gt;connaitre le sort qu'il veut inscrire&lt;/li&gt;
    &lt;li&gt;disposer d'un receptacle d'énergie suffisament chargé. La charge nécessaire pour lancer un faément mineur est égal au seuil de puissance du sort x2.&lt;/li&gt;
    &lt;li&gt;avoir un stylet à faéments&lt;/li&gt;
    &lt;li&gt;accéder à une surface dure (metal, roche, bois, ...)&lt;/li&gt;
&lt;/ul&gt;
La préparation du Faément aura pour durée un nombre de temps d'action égal au seuil de puissance du sort. Durant cette préparation, le personnage définit la condition de déclenchement du faément ainsi que ses modalités de déclenchement (direction du projectile, zone d'effet). La condition de déclenchement est une condition simple (pas de "ET" ni de "OU" et ne doit impliquer que des éléments à moins de 20m du faément). Un test d'Intelligence avec comme cible le seuil de puissance du sort doit être réussi pour inscrire le faément. En cas d'échec le réceptacle perd 50% de ses charges. Lorsque le faément est terminé, dès que la condition de déclenchement est remplie, le sort est lancé et le faément est détruit.</t>
  </si>
  <si>
    <t>Faéments</t>
  </si>
  <si>
    <t>Faément majeur</t>
  </si>
  <si>
    <t xml:space="preserve"> Le fonctionnement ets le même que le faément mineur avec les différences suivantes :
&lt;br /&gt;&lt;br /&gt;&lt;ul&gt;
    &lt;li&gt;La charge nécessaire n'est plus le seuil de puissance x2 mais x10&lt;/li&gt;
    &lt;li&gt;La durée de préparation est le seuil de puissance x2&lt;/li&gt;
    &lt;li&gt;Lorsque le sort est déclenché, le faément ne se détruit pas. Au bout d'un tour d'attente, si la condition de déclenchement est de nouveau présente, le sort est déclenché de nouveau.&lt;/li&gt;
&lt;/ul&gt;</t>
  </si>
  <si>
    <t>Chargement</t>
  </si>
  <si>
    <t>Charge un réceptacle d'énergie. Un réceptacle d'énergie est une pierre précieuse.
&lt;br /&gt;&lt;br /&gt;&lt;ul&gt;
&lt;li&gt;1h -&gt; +10 énergie -&gt; test d'&lt;span class="stat"&gt;Intelligence&lt;/span&gt; 20&lt;/li&gt;
&lt;li&gt;1h -&gt; +15 énergie -&gt; test d'&lt;span class="stat"&gt;Intelligence&lt;/span&gt; 25&lt;/li&gt;
&lt;li&gt;1h -&gt; +20 énergie -&gt; test d'&lt;span class="stat"&gt;Intelligence&lt;/span&gt; 30&lt;/li&gt;
&lt;/ul&gt;
En cas d'échec du test, le réceptacle perd 1D10 points d'énergie.&lt;br /&gt;
&lt;ul&gt;
&lt;li&gt;&lt;b&gt;Diamand&lt;/b&gt; : Charge max = 400&lt;/li&gt;
&lt;li&gt;&lt;b&gt;Rubis&lt;/b&gt; : Charge max = 600, test pour charger -5&lt;/li&gt;
&lt;li&gt;&lt;b&gt;Améthyste&lt;/b&gt; : Charge max = 300, test pour charger +2&lt;/li&gt;
&lt;li&gt;&lt;b&gt;Topaze&lt;/b&gt; : Charge max = 200, en cas d'échec de chargement perte seulement 1D6.&lt;/li&gt;
&lt;/ul&gt;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</si>
</sst>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0000"/>
      <name val="Calibri"/>
      <family val="2"/>
      <scheme val="minor"/>
    </font>
    <font>
      <sz val="8"/>
      <name val="Calibri"/>
      <family val="2"/>
      <scheme val="minor"/>
    </font>
  </fonts>
  <fills count="5">
    <fill>
      <patternFill patternType="none"/>
    </fill>
    <fill>
      <patternFill patternType="gray125"/>
    </fill>
    <fill>
      <patternFill patternType="solid">
        <fgColor theme="4" tint="0.79998168889431442"/>
        <bgColor indexed="64"/>
      </patternFill>
    </fill>
    <fill>
      <patternFill patternType="solid">
        <fgColor theme="5" tint="0.39997558519241921"/>
        <bgColor indexed="64"/>
      </patternFill>
    </fill>
    <fill>
      <patternFill patternType="solid">
        <fgColor rgb="FF00B050"/>
        <bgColor indexed="64"/>
      </patternFill>
    </fill>
  </fills>
  <borders count="2">
    <border>
      <left/>
      <right/>
      <top/>
      <bottom/>
      <diagonal/>
    </border>
    <border>
      <left/>
      <right/>
      <top/>
      <bottom style="thin">
        <color theme="1"/>
      </bottom>
      <diagonal/>
    </border>
  </borders>
  <cellStyleXfs count="1">
    <xf numFmtId="0" fontId="0" fillId="0" borderId="0"/>
  </cellStyleXfs>
  <cellXfs count="26">
    <xf numFmtId="0" fontId="0" fillId="0" borderId="0" xfId="0"/>
    <xf numFmtId="0" fontId="0" fillId="0" borderId="0" xfId="0" applyAlignment="1">
      <alignment wrapText="1"/>
    </xf>
    <xf numFmtId="0" fontId="1" fillId="0" borderId="0" xfId="0" applyFont="1"/>
    <xf numFmtId="0" fontId="0" fillId="0" borderId="0" xfId="0" applyAlignment="1">
      <alignment horizontal="left" vertical="top"/>
    </xf>
    <xf numFmtId="0" fontId="0" fillId="3" borderId="0" xfId="0" applyFill="1" applyAlignment="1">
      <alignment horizontal="left" vertical="top"/>
    </xf>
    <xf numFmtId="0" fontId="0" fillId="0" borderId="0" xfId="0" applyAlignment="1">
      <alignment horizontal="left" vertical="top" wrapText="1"/>
    </xf>
    <xf numFmtId="0" fontId="0" fillId="2" borderId="0" xfId="0" applyFill="1" applyAlignment="1">
      <alignment horizontal="left" vertical="top"/>
    </xf>
    <xf numFmtId="0" fontId="0" fillId="2" borderId="0" xfId="0" applyFill="1" applyAlignment="1">
      <alignment horizontal="left" vertical="top" wrapText="1"/>
    </xf>
    <xf numFmtId="0" fontId="0" fillId="4" borderId="0" xfId="0" applyFill="1" applyAlignment="1">
      <alignment horizontal="left" vertical="top"/>
    </xf>
    <xf numFmtId="0" fontId="0" fillId="4" borderId="1" xfId="0" applyFill="1" applyBorder="1" applyAlignment="1">
      <alignment horizontal="left" vertical="top" wrapText="1"/>
    </xf>
    <xf numFmtId="0" fontId="0" fillId="0" borderId="0" xfId="0" applyAlignment="1">
      <alignment horizontal="center" vertical="top"/>
    </xf>
    <xf numFmtId="0" fontId="0" fillId="0" borderId="0" xfId="0" quotePrefix="1" applyAlignment="1">
      <alignment horizontal="center" vertical="top"/>
    </xf>
    <xf numFmtId="0" fontId="0" fillId="0" borderId="0" xfId="0" applyAlignment="1">
      <alignment horizontal="center" vertical="center"/>
    </xf>
    <xf numFmtId="0" fontId="0" fillId="0" borderId="0" xfId="0" applyAlignment="1">
      <alignment horizontal="left" vertical="center"/>
    </xf>
    <xf numFmtId="0" fontId="0" fillId="3" borderId="0" xfId="0" applyFill="1" applyAlignment="1">
      <alignment horizontal="left" vertical="center"/>
    </xf>
    <xf numFmtId="0" fontId="0" fillId="0" borderId="0" xfId="0" applyAlignment="1">
      <alignment horizontal="left" vertical="center" wrapText="1"/>
    </xf>
    <xf numFmtId="0" fontId="0" fillId="2" borderId="0" xfId="0" applyFill="1" applyAlignment="1">
      <alignment horizontal="left" vertical="center"/>
    </xf>
    <xf numFmtId="0" fontId="0" fillId="2" borderId="0" xfId="0" applyFill="1" applyAlignment="1">
      <alignment horizontal="left" vertical="center" wrapText="1"/>
    </xf>
    <xf numFmtId="0" fontId="0" fillId="4" borderId="0" xfId="0" applyFill="1" applyAlignment="1">
      <alignment horizontal="left" vertical="center"/>
    </xf>
    <xf numFmtId="0" fontId="0" fillId="3" borderId="0" xfId="0" applyNumberFormat="1" applyFill="1" applyAlignment="1">
      <alignment horizontal="left" vertical="top"/>
    </xf>
    <xf numFmtId="0" fontId="0" fillId="2" borderId="0" xfId="0" applyNumberFormat="1" applyFill="1" applyAlignment="1">
      <alignment horizontal="left" vertical="top"/>
    </xf>
    <xf numFmtId="0" fontId="0" fillId="4" borderId="0" xfId="0" applyNumberFormat="1" applyFill="1" applyAlignment="1">
      <alignment horizontal="left" vertical="top"/>
    </xf>
    <xf numFmtId="0" fontId="0" fillId="3" borderId="0" xfId="0" applyNumberFormat="1" applyFill="1" applyAlignment="1">
      <alignment horizontal="left" vertical="center"/>
    </xf>
    <xf numFmtId="0" fontId="0" fillId="2" borderId="0" xfId="0" applyNumberFormat="1" applyFill="1" applyAlignment="1">
      <alignment horizontal="left" vertical="center"/>
    </xf>
    <xf numFmtId="0" fontId="0" fillId="4" borderId="0" xfId="0" applyNumberFormat="1" applyFill="1" applyAlignment="1">
      <alignment horizontal="left" vertical="center"/>
    </xf>
    <xf numFmtId="0" fontId="0" fillId="0" borderId="0" xfId="0" applyAlignment="1">
      <alignment vertical="top"/>
    </xf>
  </cellXfs>
  <cellStyles count="1">
    <cellStyle name="Normal" xfId="0" builtinId="0"/>
  </cellStyles>
  <dxfs count="35">
    <dxf>
      <alignment horizontal="general" vertical="top" textRotation="0" wrapText="0" indent="0" justifyLastLine="0" shrinkToFit="0" readingOrder="0"/>
    </dxf>
    <dxf>
      <numFmt numFmtId="0" formatCode="General"/>
      <fill>
        <patternFill patternType="solid">
          <fgColor indexed="64"/>
          <bgColor theme="5" tint="0.39997558519241921"/>
        </patternFill>
      </fill>
      <alignment horizontal="left"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left" vertical="top" textRotation="0" wrapText="0" indent="0" justifyLastLine="0" shrinkToFit="0" readingOrder="0"/>
    </dxf>
    <dxf>
      <numFmt numFmtId="0" formatCode="General"/>
      <fill>
        <patternFill patternType="solid">
          <fgColor indexed="64"/>
          <bgColor theme="5" tint="0.39997558519241921"/>
        </patternFill>
      </fill>
      <alignment horizontal="left" vertical="top" textRotation="0" wrapText="0" indent="0" justifyLastLine="0" shrinkToFit="0" readingOrder="0"/>
    </dxf>
    <dxf>
      <alignment horizontal="left" vertical="top" textRotation="0" wrapText="0" indent="0" justifyLastLine="0" shrinkToFit="0" readingOrder="0"/>
    </dxf>
    <dxf>
      <alignment horizontal="center" vertical="top" textRotation="0" wrapText="0" indent="0" justifyLastLine="0" shrinkToFit="0" readingOrder="0"/>
    </dxf>
    <dxf>
      <alignment horizontal="left" vertical="top" textRotation="0" wrapText="0" indent="0" justifyLastLine="0" shrinkToFit="0" readingOrder="0"/>
    </dxf>
    <dxf>
      <alignment horizontal="center" vertical="center" textRotation="0" wrapText="0" indent="0" justifyLastLine="0" shrinkToFit="0" readingOrder="0"/>
    </dxf>
    <dxf>
      <alignment horizontal="left" vertical="top" textRotation="0" wrapText="1" indent="0" justifyLastLine="0" shrinkToFit="0" readingOrder="0"/>
    </dxf>
    <dxf>
      <fill>
        <patternFill patternType="solid">
          <fgColor indexed="64"/>
          <bgColor theme="4" tint="0.79998168889431442"/>
        </patternFill>
      </fill>
      <alignment horizontal="left" vertical="top" textRotation="0" wrapText="0" indent="0" justifyLastLine="0" shrinkToFit="0" readingOrder="0"/>
    </dxf>
    <dxf>
      <alignment horizontal="left" vertical="center" textRotation="0" indent="0" justifyLastLine="0" shrinkToFit="0" readingOrder="0"/>
    </dxf>
    <dxf>
      <alignment horizontal="left" vertical="top" textRotation="0" wrapText="0" indent="0" justifyLastLine="0" shrinkToFit="0" readingOrder="0"/>
    </dxf>
    <dxf>
      <numFmt numFmtId="0" formatCode="General"/>
      <fill>
        <patternFill patternType="solid">
          <fgColor indexed="64"/>
          <bgColor rgb="FF00B050"/>
        </patternFill>
      </fill>
      <alignment horizontal="left" vertical="top" textRotation="0" wrapText="0" indent="0" justifyLastLine="0" shrinkToFit="0" readingOrder="0"/>
    </dxf>
    <dxf>
      <numFmt numFmtId="0" formatCode="General"/>
      <fill>
        <patternFill patternType="solid">
          <fgColor indexed="64"/>
          <bgColor theme="4" tint="0.79998168889431442"/>
        </patternFill>
      </fill>
      <alignment horizontal="left" vertical="top" textRotation="0" wrapText="0" indent="0" justifyLastLine="0" shrinkToFit="0" readingOrder="0"/>
    </dxf>
    <dxf>
      <numFmt numFmtId="0" formatCode="General"/>
      <fill>
        <patternFill patternType="solid">
          <fgColor indexed="64"/>
          <bgColor theme="4" tint="0.79998168889431442"/>
        </patternFill>
      </fill>
      <alignment horizontal="left" vertical="top" textRotation="0" wrapText="0" indent="0" justifyLastLine="0" shrinkToFit="0" readingOrder="0"/>
    </dxf>
    <dxf>
      <numFmt numFmtId="0" formatCode="General"/>
      <fill>
        <patternFill patternType="solid">
          <fgColor indexed="64"/>
          <bgColor theme="4" tint="0.79998168889431442"/>
        </patternFill>
      </fill>
      <alignment horizontal="left" vertical="top" textRotation="0" wrapText="0" indent="0" justifyLastLine="0" shrinkToFit="0" readingOrder="0"/>
    </dxf>
    <dxf>
      <numFmt numFmtId="0" formatCode="General"/>
      <fill>
        <patternFill patternType="solid">
          <fgColor indexed="64"/>
          <bgColor theme="4" tint="0.79998168889431442"/>
        </patternFill>
      </fill>
      <alignment horizontal="left" vertical="top" textRotation="0" wrapText="0" indent="0" justifyLastLine="0" shrinkToFit="0" readingOrder="0"/>
    </dxf>
    <dxf>
      <numFmt numFmtId="0" formatCode="General"/>
      <fill>
        <patternFill patternType="solid">
          <fgColor indexed="64"/>
          <bgColor theme="4" tint="0.79998168889431442"/>
        </patternFill>
      </fill>
      <alignment horizontal="left" vertical="top" textRotation="0" wrapText="0" indent="0" justifyLastLine="0" shrinkToFit="0" readingOrder="0"/>
    </dxf>
    <dxf>
      <numFmt numFmtId="0" formatCode="General"/>
      <fill>
        <patternFill patternType="solid">
          <fgColor indexed="64"/>
          <bgColor theme="4" tint="0.79998168889431442"/>
        </patternFill>
      </fill>
      <alignment horizontal="left" vertical="top" textRotation="0" wrapText="0" indent="0" justifyLastLine="0" shrinkToFit="0" readingOrder="0"/>
    </dxf>
    <dxf>
      <numFmt numFmtId="0" formatCode="General"/>
      <fill>
        <patternFill patternType="solid">
          <fgColor indexed="64"/>
          <bgColor theme="4" tint="0.79998168889431442"/>
        </patternFill>
      </fill>
      <alignment horizontal="left" vertical="top" textRotation="0" wrapText="0" indent="0" justifyLastLine="0" shrinkToFit="0" readingOrder="0"/>
    </dxf>
    <dxf>
      <numFmt numFmtId="0" formatCode="General"/>
      <fill>
        <patternFill patternType="solid">
          <fgColor indexed="64"/>
          <bgColor theme="4" tint="0.79998168889431442"/>
        </patternFill>
      </fill>
      <alignment horizontal="left" vertical="top" textRotation="0" wrapText="0" indent="0" justifyLastLine="0" shrinkToFit="0" readingOrder="0"/>
    </dxf>
    <dxf>
      <numFmt numFmtId="0" formatCode="General"/>
      <fill>
        <patternFill patternType="solid">
          <fgColor indexed="64"/>
          <bgColor theme="4" tint="0.79998168889431442"/>
        </patternFill>
      </fill>
      <alignment horizontal="left" vertical="top" textRotation="0" wrapText="0" indent="0" justifyLastLine="0" shrinkToFit="0" readingOrder="0"/>
    </dxf>
    <dxf>
      <numFmt numFmtId="0" formatCode="General"/>
      <fill>
        <patternFill patternType="solid">
          <fgColor indexed="64"/>
          <bgColor theme="4" tint="0.79998168889431442"/>
        </patternFill>
      </fill>
      <alignment horizontal="left" vertical="top" textRotation="0" wrapText="0" indent="0" justifyLastLine="0" shrinkToFit="0" readingOrder="0"/>
    </dxf>
    <dxf>
      <numFmt numFmtId="0" formatCode="General"/>
      <fill>
        <patternFill patternType="solid">
          <fgColor indexed="64"/>
          <bgColor theme="4" tint="0.79998168889431442"/>
        </patternFill>
      </fill>
      <alignment horizontal="left" vertical="top" textRotation="0" wrapText="0" indent="0" justifyLastLine="0" shrinkToFit="0" readingOrder="0"/>
    </dxf>
    <dxf>
      <numFmt numFmtId="0" formatCode="General"/>
      <fill>
        <patternFill patternType="solid">
          <fgColor indexed="64"/>
          <bgColor theme="4" tint="0.79998168889431442"/>
        </patternFill>
      </fill>
      <alignment horizontal="left" vertical="top" textRotation="0" wrapText="0" indent="0" justifyLastLine="0" shrinkToFit="0" readingOrder="0"/>
    </dxf>
    <dxf>
      <numFmt numFmtId="0" formatCode="General"/>
      <fill>
        <patternFill patternType="solid">
          <fgColor indexed="64"/>
          <bgColor theme="4" tint="0.79998168889431442"/>
        </patternFill>
      </fill>
      <alignment horizontal="left" vertical="top" textRotation="0" wrapText="0" indent="0" justifyLastLine="0" shrinkToFit="0" readingOrder="0"/>
    </dxf>
    <dxf>
      <numFmt numFmtId="0" formatCode="General"/>
      <fill>
        <patternFill patternType="solid">
          <fgColor indexed="64"/>
          <bgColor theme="4" tint="0.79998168889431442"/>
        </patternFill>
      </fill>
      <alignment horizontal="left" vertical="top" textRotation="0" wrapText="0" indent="0" justifyLastLine="0" shrinkToFit="0" readingOrder="0"/>
    </dxf>
    <dxf>
      <numFmt numFmtId="0" formatCode="General"/>
      <fill>
        <patternFill patternType="solid">
          <fgColor indexed="64"/>
          <bgColor theme="4" tint="0.79998168889431442"/>
        </patternFill>
      </fill>
      <alignment horizontal="left" vertical="top" textRotation="0" wrapText="0" indent="0" justifyLastLine="0" shrinkToFit="0" readingOrder="0"/>
    </dxf>
    <dxf>
      <fill>
        <patternFill patternType="solid">
          <fgColor indexed="64"/>
          <bgColor theme="4" tint="0.79998168889431442"/>
        </patternFill>
      </fill>
      <alignment horizontal="left" vertical="top"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au1" displayName="Tableau1" ref="A1:AG97" totalsRowShown="0" headerRowDxfId="16" dataDxfId="17">
  <autoFilter ref="A1:AG97" xr:uid="{00000000-0009-0000-0100-000001000000}"/>
  <sortState xmlns:xlrd2="http://schemas.microsoft.com/office/spreadsheetml/2017/richdata2" ref="A2:AG76">
    <sortCondition ref="A2:A76"/>
    <sortCondition ref="B2:B76"/>
    <sortCondition ref="C2:C76"/>
  </sortState>
  <tableColumns count="33">
    <tableColumn id="33" xr3:uid="{5DE4D72C-9310-48BA-B628-5148D779686D}" name="Ordre voie" dataDxfId="13"/>
    <tableColumn id="1" xr3:uid="{00000000-0010-0000-0000-000001000000}" name="Voie" dataDxfId="12"/>
    <tableColumn id="2" xr3:uid="{00000000-0010-0000-0000-000002000000}" name="Niveau" dataDxfId="11"/>
    <tableColumn id="3" xr3:uid="{00000000-0010-0000-0000-000003000000}" name="Nom" dataDxfId="10"/>
    <tableColumn id="15" xr3:uid="{00000000-0010-0000-0000-00000F000000}" name="Apprentissage" dataDxfId="9">
      <calculatedColumnFormula>IFERROR(VLOOKUP(Tableau1[[#This Row],[Niveau]],Tableau2[],2,FALSE),"")</calculatedColumnFormula>
    </tableColumn>
    <tableColumn id="29" xr3:uid="{36654DA3-1CA6-4687-BD67-5D51F93525F1}" name="Caractéristique" dataDxfId="8"/>
    <tableColumn id="4" xr3:uid="{00000000-0010-0000-0000-000004000000}" name="Exécution" dataDxfId="7"/>
    <tableColumn id="5" xr3:uid="{00000000-0010-0000-0000-000005000000}" name="Souffle" dataDxfId="6"/>
    <tableColumn id="6" xr3:uid="{00000000-0010-0000-0000-000006000000}" name="Concentration" dataDxfId="5"/>
    <tableColumn id="7" xr3:uid="{00000000-0010-0000-0000-000007000000}" name="Adrénaline" dataDxfId="4"/>
    <tableColumn id="8" xr3:uid="{00000000-0010-0000-0000-000008000000}" name="Passif ?" dataDxfId="3"/>
    <tableColumn id="9" xr3:uid="{00000000-0010-0000-0000-000009000000}" name="Action de combat ?" dataDxfId="2"/>
    <tableColumn id="16" xr3:uid="{00000000-0010-0000-0000-000010000000}" name="Profil" dataDxfId="0"/>
    <tableColumn id="10" xr3:uid="{00000000-0010-0000-0000-00000A000000}" name="Innée ?" dataDxfId="1">
      <calculatedColumnFormula>IF(Tableau1[[#This Row],[Niveau]]=0,TRUE,FALSE)</calculatedColumnFormula>
    </tableColumn>
    <tableColumn id="11" xr3:uid="{00000000-0010-0000-0000-00000B000000}" name="Effets" dataDxfId="14"/>
    <tableColumn id="12" xr3:uid="{00000000-0010-0000-0000-00000C000000}" name="Améliorable ?" dataDxfId="15"/>
    <tableColumn id="19" xr3:uid="{C48F5EB5-8B0B-4873-9B03-D94DB3E131EB}" name="HTML_prefix" dataDxfId="34"/>
    <tableColumn id="13" xr3:uid="{00000000-0010-0000-0000-00000D000000}" name="HTML_nom" dataDxfId="33">
      <calculatedColumnFormula>CONCATENATE("&lt;h4 class=""nom""&gt;",Tableau1[[#This Row],[Nom]],"&lt;/h4&gt;")</calculatedColumnFormula>
    </tableColumn>
    <tableColumn id="20" xr3:uid="{0A3C7F8C-611A-4EBB-9D1A-FCB34FFA70A6}" name="HTML_specs_prefix" dataDxfId="32"/>
    <tableColumn id="14" xr3:uid="{84516C33-63C3-44C6-A15E-FCCAA86CD9D2}" name="HTML_passif" dataDxfId="31">
      <calculatedColumnFormula>IF(Tableau1[[#This Row],[Passif ?]],"&lt;span class=""passive""&gt;Action passive&lt;/span&gt;","")</calculatedColumnFormula>
    </tableColumn>
    <tableColumn id="17" xr3:uid="{A7C0B43E-A134-401B-BF02-AF99C25F13D1}" name="HTML_profil" dataDxfId="30">
      <calculatedColumnFormula>IF(ISBLANK(Tableau1[[#This Row],[Profil]]),"",CONCATENATE("&lt;span class=""profil""&gt;Profil ",Tableau1[[#This Row],[Profil]],"&lt;/span&gt;"))</calculatedColumnFormula>
    </tableColumn>
    <tableColumn id="18" xr3:uid="{6E90796F-9644-4C6E-A066-ECE48AFFE23B}" name="HTML_innée" dataDxfId="29">
      <calculatedColumnFormula>IF(Tableau1[[#This Row],[Innée ?]],"&lt;span class=""innee""&gt;Action innée&lt;/span&gt;","")</calculatedColumnFormula>
    </tableColumn>
    <tableColumn id="28" xr3:uid="{FC329F19-D5FB-4DEA-9306-A88FDC1141EB}" name="HTML_apprentissage" dataDxfId="28">
      <calculatedColumnFormula>IF(Tableau1[[#This Row],[Niveau]]&gt;0,CONCATENATE("&lt;span class=""apprentissage""&gt;Apprentissage : &lt;span&gt;",Tableau1[[#This Row],[Caractéristique]], " ",Tableau1[[#This Row],[Apprentissage]],"&lt;/span&gt;&lt;/span&gt;"),"")</calculatedColumnFormula>
    </tableColumn>
    <tableColumn id="22" xr3:uid="{B9498E70-1F27-4202-8C10-99B46CA5BFAB}" name="HTML_specs_col" dataDxfId="27"/>
    <tableColumn id="23" xr3:uid="{15E545C4-9742-435E-9C4B-CCEF119D7569}" name="HTML_Execution" dataDxfId="26">
      <calculatedColumnFormula>CONCATENATE("&lt;p&gt;Exécution : &lt;span&gt;", IF(Tableau1[[#This Row],[Exécution]]&gt;0,Tableau1[[#This Row],[Exécution]],"-"), "&lt;/span&gt;&lt;/p&gt;")</calculatedColumnFormula>
    </tableColumn>
    <tableColumn id="25" xr3:uid="{1C1CC2B6-B361-4D78-8CFB-5F86E56C110C}" name="HTML_Souffle" dataDxfId="25">
      <calculatedColumnFormula>CONCATENATE("&lt;p&gt;Souffle : &lt;span class=""jauge""&gt;", IF(Tableau1[[#This Row],[Souffle]]&gt;0,Tableau1[[#This Row],[Souffle]],"-"), "&lt;/span&gt;&lt;/p&gt;")</calculatedColumnFormula>
    </tableColumn>
    <tableColumn id="24" xr3:uid="{C56BF7FF-8F32-488F-B002-215AF969B8DB}" name="HTML_Concentration" dataDxfId="24">
      <calculatedColumnFormula>CONCATENATE("&lt;p&gt;Concentration : &lt;span class=""jauge""&gt;",IF(Tableau1[[#This Row],[Concentration]]&gt;0,Tableau1[[#This Row],[Concentration]],"-"), "&lt;/span&gt;&lt;/p&gt;")</calculatedColumnFormula>
    </tableColumn>
    <tableColumn id="26" xr3:uid="{3B958A68-57B0-4B86-A2EB-0F8358B4870C}" name="HTML_Adrénaline" dataDxfId="23">
      <calculatedColumnFormula>IF(Tableau1[[#This Row],[Adrénaline]]&gt;0,CONCATENATE("&lt;p&gt;Adrénaline : &lt;span class=""jauge""&gt;", Tableau1[[#This Row],[Adrénaline]], "&lt;/span&gt;&lt;/p&gt;"),"")</calculatedColumnFormula>
    </tableColumn>
    <tableColumn id="31" xr3:uid="{F6EE5C86-31F4-44C7-9F24-BB24263C5BE9}" name="HTML_specs_suffix" dataDxfId="22"/>
    <tableColumn id="30" xr3:uid="{7B431661-44E2-4C05-87B5-F288FFDF57B1}" name="HTML_effets" dataDxfId="21">
      <calculatedColumnFormula>CONCATENATE("&lt;div class=""effets""&gt;",Tableau1[[#This Row],[Effets]],"&lt;/div&gt;")</calculatedColumnFormula>
    </tableColumn>
    <tableColumn id="32" xr3:uid="{BED45635-DA01-46DD-9692-474EEEE13B4E}" name="HTML_suffix" dataDxfId="20"/>
    <tableColumn id="21" xr3:uid="{59E03705-D070-4EF0-BB59-55D3116FF31B}" name="HTML_ligne" dataDxfId="19">
      <calculatedColumnFormula>CONCATENATE(Tableau1[[#This Row],[HTML_prefix]],Tableau1[[#This Row],[HTML_nom]],Tableau1[[#This Row],[HTML_specs_prefix]],Tableau1[[#This Row],[HTML_passif]],Tableau1[[#This Row],[HTML_profil]],Tableau1[[#This Row],[HTML_innée]],Tableau1[[#This Row],[HTML_apprentissage]],Tableau1[[#This Row],[HTML_specs_col]],Tableau1[[#This Row],[HTML_Execution]],Tableau1[[#This Row],[HTML_Souffle]],Tableau1[[#This Row],[HTML_Concentration]],Tableau1[[#This Row],[HTML_Adrénaline]],Tableau1[[#This Row],[HTML_specs_suffix]],Tableau1[[#This Row],[HTML_effets]],Tableau1[[#This Row],[HTML_suffix]])</calculatedColumnFormula>
    </tableColumn>
    <tableColumn id="27" xr3:uid="{A3A860E1-D6E8-469E-ADCD-A92A4C369E07}" name="HTML" dataDxfId="18">
      <calculatedColumnFormula>IF(ISBLANK(Tableau1[[#This Row],[Nom]]),"",IF(B2&lt;&gt;B1,CONCATENATE("&lt;/div&gt;&lt;div class=""voie ",Tableau1[[#This Row],[Caractéristique]],"""&gt;&lt;h3&gt;",Tableau1[[#This Row],[Voie]],"&lt;/h3&gt;",Tableau1[[#This Row],[HTML_ligne]]),Tableau1[[#This Row],[HTML_ligne]]))</calculatedColumnFormula>
    </tableColumn>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au2" displayName="Tableau2" ref="B3:C9" totalsRowShown="0">
  <autoFilter ref="B3:C9" xr:uid="{00000000-0009-0000-0100-000002000000}"/>
  <tableColumns count="2">
    <tableColumn id="1" xr3:uid="{00000000-0010-0000-0100-000001000000}" name="Niveau"/>
    <tableColumn id="2" xr3:uid="{00000000-0010-0000-0100-000002000000}" name="Apprentissage"/>
  </tableColumns>
  <tableStyleInfo name="TableStyleLight1"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98"/>
  <sheetViews>
    <sheetView tabSelected="1" topLeftCell="E1" zoomScaleNormal="100" workbookViewId="0">
      <pane ySplit="1" topLeftCell="A96" activePane="bottomLeft" state="frozen"/>
      <selection pane="bottomLeft" activeCell="O97" sqref="O97"/>
    </sheetView>
  </sheetViews>
  <sheetFormatPr baseColWidth="10" defaultColWidth="9.140625" defaultRowHeight="15" x14ac:dyDescent="0.25"/>
  <cols>
    <col min="1" max="1" width="5.28515625" style="12" customWidth="1"/>
    <col min="2" max="2" width="20.28515625" style="3" customWidth="1"/>
    <col min="3" max="3" width="6.85546875" style="10" customWidth="1"/>
    <col min="4" max="4" width="30.140625" style="3" customWidth="1"/>
    <col min="5" max="5" width="1.140625" style="3" customWidth="1"/>
    <col min="6" max="6" width="9.42578125" style="3" customWidth="1"/>
    <col min="7" max="9" width="4.7109375" style="10" customWidth="1"/>
    <col min="10" max="10" width="8.28515625" style="10" customWidth="1"/>
    <col min="11" max="11" width="10.28515625" style="10" customWidth="1"/>
    <col min="12" max="12" width="10" style="10" customWidth="1"/>
    <col min="13" max="13" width="8.42578125" style="25" customWidth="1"/>
    <col min="14" max="14" width="2.28515625" style="3" customWidth="1"/>
    <col min="15" max="15" width="140.85546875" style="5" customWidth="1"/>
    <col min="16" max="18" width="10.7109375" style="6" customWidth="1"/>
    <col min="19" max="27" width="10.7109375" style="7" customWidth="1"/>
    <col min="28" max="28" width="10.7109375" style="6" customWidth="1"/>
    <col min="29" max="31" width="10.7109375" style="7" customWidth="1"/>
    <col min="32" max="32" width="33.42578125" style="8" customWidth="1"/>
    <col min="33" max="33" width="74" style="3" customWidth="1"/>
    <col min="34" max="16384" width="9.140625" style="3"/>
  </cols>
  <sheetData>
    <row r="1" spans="1:33" s="13" customFormat="1" ht="30" x14ac:dyDescent="0.25">
      <c r="A1" s="12" t="s">
        <v>190</v>
      </c>
      <c r="B1" s="3" t="s">
        <v>0</v>
      </c>
      <c r="C1" s="10" t="s">
        <v>7</v>
      </c>
      <c r="D1" s="3" t="s">
        <v>11</v>
      </c>
      <c r="E1" s="4" t="s">
        <v>14</v>
      </c>
      <c r="F1" s="3" t="s">
        <v>56</v>
      </c>
      <c r="G1" s="10" t="s">
        <v>15</v>
      </c>
      <c r="H1" s="10" t="s">
        <v>1</v>
      </c>
      <c r="I1" s="10" t="s">
        <v>2</v>
      </c>
      <c r="J1" s="10" t="s">
        <v>3</v>
      </c>
      <c r="K1" s="10" t="s">
        <v>4</v>
      </c>
      <c r="L1" s="10" t="s">
        <v>5</v>
      </c>
      <c r="M1" s="25" t="s">
        <v>32</v>
      </c>
      <c r="N1" s="14" t="s">
        <v>6</v>
      </c>
      <c r="O1" s="15" t="s">
        <v>8</v>
      </c>
      <c r="P1" s="13" t="s">
        <v>9</v>
      </c>
      <c r="Q1" s="16" t="s">
        <v>46</v>
      </c>
      <c r="R1" s="16" t="s">
        <v>45</v>
      </c>
      <c r="S1" s="16" t="s">
        <v>47</v>
      </c>
      <c r="T1" s="17" t="s">
        <v>43</v>
      </c>
      <c r="U1" s="17" t="s">
        <v>44</v>
      </c>
      <c r="V1" s="17" t="s">
        <v>48</v>
      </c>
      <c r="W1" s="17" t="s">
        <v>55</v>
      </c>
      <c r="X1" s="17" t="s">
        <v>51</v>
      </c>
      <c r="Y1" s="17" t="s">
        <v>52</v>
      </c>
      <c r="Z1" s="17" t="s">
        <v>53</v>
      </c>
      <c r="AA1" s="17" t="s">
        <v>54</v>
      </c>
      <c r="AB1" s="17" t="s">
        <v>61</v>
      </c>
      <c r="AC1" s="16" t="s">
        <v>49</v>
      </c>
      <c r="AD1" s="17" t="s">
        <v>60</v>
      </c>
      <c r="AE1" s="17" t="s">
        <v>63</v>
      </c>
      <c r="AF1" s="17" t="s">
        <v>68</v>
      </c>
      <c r="AG1" s="18" t="s">
        <v>62</v>
      </c>
    </row>
    <row r="2" spans="1:33" ht="90" x14ac:dyDescent="0.25">
      <c r="A2" s="12">
        <v>1</v>
      </c>
      <c r="B2" s="3" t="s">
        <v>10</v>
      </c>
      <c r="C2" s="10">
        <v>0</v>
      </c>
      <c r="D2" s="3" t="s">
        <v>12</v>
      </c>
      <c r="E2" s="4">
        <f>IFERROR(VLOOKUP(Tableau1[[#This Row],[Niveau]],Tableau2[],2,FALSE),"")</f>
        <v>0</v>
      </c>
      <c r="F2" s="3" t="s">
        <v>57</v>
      </c>
      <c r="G2" s="10">
        <v>2</v>
      </c>
      <c r="I2" s="10">
        <v>0</v>
      </c>
      <c r="N2" s="4" t="b">
        <f>IF(Tableau1[[#This Row],[Niveau]]=0,TRUE,FALSE)</f>
        <v>1</v>
      </c>
      <c r="O2" s="5" t="s">
        <v>103</v>
      </c>
      <c r="P2" s="3"/>
      <c r="Q2" s="6" t="s">
        <v>65</v>
      </c>
      <c r="R2" s="6" t="str">
        <f>CONCATENATE("&lt;h4 class=""nom""&gt;",Tableau1[[#This Row],[Nom]],"&lt;/h4&gt;")</f>
        <v>&lt;h4 class="nom"&gt;Courir&lt;/h4&gt;</v>
      </c>
      <c r="S2" s="6" t="s">
        <v>66</v>
      </c>
      <c r="T2" s="6" t="str">
        <f>IF(Tableau1[[#This Row],[Passif ?]],"&lt;span class=""passive""&gt;Action passive&lt;/span&gt;","")</f>
        <v/>
      </c>
      <c r="U2" s="6" t="str">
        <f>IF(ISBLANK(Tableau1[[#This Row],[Profil]]),"",CONCATENATE("&lt;span class=""profil""&gt;Profil ",Tableau1[[#This Row],[Profil]],"&lt;/span&gt;"))</f>
        <v/>
      </c>
      <c r="V2" s="6" t="str">
        <f>IF(Tableau1[[#This Row],[Innée ?]],"&lt;span class=""innee""&gt;Action innée&lt;/span&gt;","")</f>
        <v>&lt;span class="innee"&gt;Action innée&lt;/span&gt;</v>
      </c>
      <c r="W2" s="6" t="str">
        <f>IF(Tableau1[[#This Row],[Niveau]]&gt;0,CONCATENATE("&lt;span class=""apprentissage""&gt;Apprentissage : &lt;span&gt;",Tableau1[[#This Row],[Caractéristique]], " ",Tableau1[[#This Row],[Apprentissage]],"&lt;/span&gt;&lt;/span&gt;"),"")</f>
        <v/>
      </c>
      <c r="X2" s="6" t="s">
        <v>67</v>
      </c>
      <c r="Y2" s="6" t="str">
        <f>CONCATENATE("&lt;p&gt;Exécution : &lt;span&gt;", IF(Tableau1[[#This Row],[Exécution]]&gt;0,Tableau1[[#This Row],[Exécution]],"-"), "&lt;/span&gt;&lt;/p&gt;")</f>
        <v>&lt;p&gt;Exécution : &lt;span&gt;2&lt;/span&gt;&lt;/p&gt;</v>
      </c>
      <c r="Z2" s="6" t="str">
        <f>CONCATENATE("&lt;p&gt;Souffle : &lt;span class=""jauge""&gt;", IF(Tableau1[[#This Row],[Souffle]]&gt;0,Tableau1[[#This Row],[Souffle]],"-"), "&lt;/span&gt;&lt;/p&gt;")</f>
        <v>&lt;p&gt;Souffle : &lt;span class="jauge"&gt;-&lt;/span&gt;&lt;/p&gt;</v>
      </c>
      <c r="AA2" s="6" t="str">
        <f>CONCATENATE("&lt;p&gt;Concentration : &lt;span class=""jauge""&gt;",IF(Tableau1[[#This Row],[Concentration]]&gt;0,Tableau1[[#This Row],[Concentration]],"-"), "&lt;/span&gt;&lt;/p&gt;")</f>
        <v>&lt;p&gt;Concentration : &lt;span class="jauge"&gt;-&lt;/span&gt;&lt;/p&gt;</v>
      </c>
      <c r="AB2" s="6" t="str">
        <f>IF(Tableau1[[#This Row],[Adrénaline]]&gt;0,CONCATENATE("&lt;p&gt;Adrénaline : &lt;span class=""jauge""&gt;", Tableau1[[#This Row],[Adrénaline]], "&lt;/span&gt;&lt;/p&gt;"),"")</f>
        <v/>
      </c>
      <c r="AC2" s="6" t="s">
        <v>50</v>
      </c>
      <c r="AD2" s="6" t="str">
        <f>CONCATENATE("&lt;div class=""effets""&gt;",Tableau1[[#This Row],[Effets]],"&lt;/div&gt;")</f>
        <v>&lt;div class="effets"&gt;Le personnage se déplace d’un mouvement maximal de 8m. Si le terrain est difficilement praticable (gravats, végétation dense, …) le personnage doit diviser sa vitesse par deux ou réussir un test d’&lt;span class="stat"&gt;Adresse&lt;/span&gt; à 15 pour ne pas chuter.&lt;br /&gt;S’agenouiller et s’accroupir se font sans pénalité, par contre s’allonger et se relever réduisent la distance de déplacement de 3m. 
    &lt;br /&gt;Il est possible d'associer une course avec une autre action. Dans ce cas, additionner les valeurs d'Execution, de &lt;span class="jauge"&gt;Souffle&lt;/span&gt; et de &lt;span class="jauge"&gt;Concentration&lt;/span&gt;. Par contre les 2 actions doivent être réalisées l'une après l'autre (il n'est pas possible de se déplacer de la moitié de son mouvement, puis faire une action, puis terminer le mouvement).&lt;/div&gt;</v>
      </c>
      <c r="AE2" s="6" t="s">
        <v>64</v>
      </c>
      <c r="AF2" s="6" t="str">
        <f>CONCATENATE(Tableau1[[#This Row],[HTML_prefix]],Tableau1[[#This Row],[HTML_nom]],Tableau1[[#This Row],[HTML_specs_prefix]],Tableau1[[#This Row],[HTML_passif]],Tableau1[[#This Row],[HTML_profil]],Tableau1[[#This Row],[HTML_innée]],Tableau1[[#This Row],[HTML_apprentissage]],Tableau1[[#This Row],[HTML_specs_col]],Tableau1[[#This Row],[HTML_Execution]],Tableau1[[#This Row],[HTML_Souffle]],Tableau1[[#This Row],[HTML_Concentration]],Tableau1[[#This Row],[HTML_Adrénaline]],Tableau1[[#This Row],[HTML_specs_suffix]],Tableau1[[#This Row],[HTML_effets]],Tableau1[[#This Row],[HTML_suffix]])</f>
        <v>&lt;div class="comp"&gt;&lt;h4 class="nom"&gt;Courir&lt;/h4&gt;&lt;table class="spec"&gt;&lt;tr&gt;&lt;td class="left"&gt;&lt;span class="innee"&gt;Action innée&lt;/span&gt;&lt;/td&gt;&lt;td class="right"&gt;&lt;p&gt;Exécution : &lt;span&gt;2&lt;/span&gt;&lt;/p&gt;&lt;p&gt;Souffle : &lt;span class="jauge"&gt;-&lt;/span&gt;&lt;/p&gt;&lt;p&gt;Concentration : &lt;span class="jauge"&gt;-&lt;/span&gt;&lt;/p&gt;&lt;/td&gt;&lt;/tr&gt;&lt;/table class=""spec""&gt;&lt;div class="effets"&gt;Le personnage se déplace d’un mouvement maximal de 8m. Si le terrain est difficilement praticable (gravats, végétation dense, …) le personnage doit diviser sa vitesse par deux ou réussir un test d’&lt;span class="stat"&gt;Adresse&lt;/span&gt; à 15 pour ne pas chuter.&lt;br /&gt;S’agenouiller et s’accroupir se font sans pénalité, par contre s’allonger et se relever réduisent la distance de déplacement de 3m. 
    &lt;br /&gt;Il est possible d'associer une course avec une autre action. Dans ce cas, additionner les valeurs d'Execution, de &lt;span class="jauge"&gt;Souffle&lt;/span&gt; et de &lt;span class="jauge"&gt;Concentration&lt;/span&gt;. Par contre les 2 actions doivent être réalisées l'une après l'autre (il n'est pas possible de se déplacer de la moitié de son mouvement, puis faire une action, puis terminer le mouvement).&lt;/div&gt;&lt;/div&gt;</v>
      </c>
      <c r="AG2" s="8" t="str">
        <f>IF(ISBLANK(Tableau1[[#This Row],[Nom]]),"",IF(B2&lt;&gt;B1,CONCATENATE("&lt;/div&gt;&lt;div class=""voie ",Tableau1[[#This Row],[Caractéristique]],"""&gt;&lt;h3&gt;",Tableau1[[#This Row],[Voie]],"&lt;/h3&gt;",Tableau1[[#This Row],[HTML_ligne]]),Tableau1[[#This Row],[HTML_ligne]]))</f>
        <v>&lt;/div&gt;&lt;div class="voie Vivacité"&gt;&lt;h3&gt;Déplacement&lt;/h3&gt;&lt;div class="comp"&gt;&lt;h4 class="nom"&gt;Courir&lt;/h4&gt;&lt;table class="spec"&gt;&lt;tr&gt;&lt;td class="left"&gt;&lt;span class="innee"&gt;Action innée&lt;/span&gt;&lt;/td&gt;&lt;td class="right"&gt;&lt;p&gt;Exécution : &lt;span&gt;2&lt;/span&gt;&lt;/p&gt;&lt;p&gt;Souffle : &lt;span class="jauge"&gt;-&lt;/span&gt;&lt;/p&gt;&lt;p&gt;Concentration : &lt;span class="jauge"&gt;-&lt;/span&gt;&lt;/p&gt;&lt;/td&gt;&lt;/tr&gt;&lt;/table class=""spec""&gt;&lt;div class="effets"&gt;Le personnage se déplace d’un mouvement maximal de 8m. Si le terrain est difficilement praticable (gravats, végétation dense, …) le personnage doit diviser sa vitesse par deux ou réussir un test d’&lt;span class="stat"&gt;Adresse&lt;/span&gt; à 15 pour ne pas chuter.&lt;br /&gt;S’agenouiller et s’accroupir se font sans pénalité, par contre s’allonger et se relever réduisent la distance de déplacement de 3m. 
    &lt;br /&gt;Il est possible d'associer une course avec une autre action. Dans ce cas, additionner les valeurs d'Execution, de &lt;span class="jauge"&gt;Souffle&lt;/span&gt; et de &lt;span class="jauge"&gt;Concentration&lt;/span&gt;. Par contre les 2 actions doivent être réalisées l'une après l'autre (il n'est pas possible de se déplacer de la moitié de son mouvement, puis faire une action, puis terminer le mouvement).&lt;/div&gt;&lt;/div&gt;</v>
      </c>
    </row>
    <row r="3" spans="1:33" x14ac:dyDescent="0.25">
      <c r="A3" s="12">
        <v>1</v>
      </c>
      <c r="B3" s="3" t="s">
        <v>10</v>
      </c>
      <c r="C3" s="10">
        <v>0</v>
      </c>
      <c r="D3" s="3" t="s">
        <v>155</v>
      </c>
      <c r="E3" s="4">
        <f>IFERROR(VLOOKUP(Tableau1[[#This Row],[Niveau]],Tableau2[],2,FALSE),"")</f>
        <v>0</v>
      </c>
      <c r="F3" s="3" t="s">
        <v>57</v>
      </c>
      <c r="G3" s="10">
        <v>0</v>
      </c>
      <c r="N3" s="4" t="b">
        <f>IF(Tableau1[[#This Row],[Niveau]]=0,TRUE,FALSE)</f>
        <v>1</v>
      </c>
      <c r="O3" s="5" t="s">
        <v>156</v>
      </c>
      <c r="Q3" s="6" t="s">
        <v>65</v>
      </c>
      <c r="R3" s="6" t="str">
        <f>CONCATENATE("&lt;h4 class=""nom""&gt;",Tableau1[[#This Row],[Nom]],"&lt;/h4&gt;")</f>
        <v>&lt;h4 class="nom"&gt;Récupérer&lt;/h4&gt;</v>
      </c>
      <c r="S3" s="6" t="s">
        <v>66</v>
      </c>
      <c r="T3" s="6" t="str">
        <f>IF(Tableau1[[#This Row],[Passif ?]],"&lt;span class=""passive""&gt;Action passive&lt;/span&gt;","")</f>
        <v/>
      </c>
      <c r="U3" s="6" t="str">
        <f>IF(ISBLANK(Tableau1[[#This Row],[Profil]]),"",CONCATENATE("&lt;span class=""profil""&gt;Profil ",Tableau1[[#This Row],[Profil]],"&lt;/span&gt;"))</f>
        <v/>
      </c>
      <c r="V3" s="6" t="str">
        <f>IF(Tableau1[[#This Row],[Innée ?]],"&lt;span class=""innee""&gt;Action innée&lt;/span&gt;","")</f>
        <v>&lt;span class="innee"&gt;Action innée&lt;/span&gt;</v>
      </c>
      <c r="W3" s="6" t="str">
        <f>IF(Tableau1[[#This Row],[Niveau]]&gt;0,CONCATENATE("&lt;span class=""apprentissage""&gt;Apprentissage : &lt;span&gt;",Tableau1[[#This Row],[Caractéristique]], " ",Tableau1[[#This Row],[Apprentissage]],"&lt;/span&gt;&lt;/span&gt;"),"")</f>
        <v/>
      </c>
      <c r="X3" s="6" t="s">
        <v>67</v>
      </c>
      <c r="Y3" s="6" t="str">
        <f>CONCATENATE("&lt;p&gt;Exécution : &lt;span&gt;", IF(Tableau1[[#This Row],[Exécution]]&gt;0,Tableau1[[#This Row],[Exécution]],"-"), "&lt;/span&gt;&lt;/p&gt;")</f>
        <v>&lt;p&gt;Exécution : &lt;span&gt;-&lt;/span&gt;&lt;/p&gt;</v>
      </c>
      <c r="Z3" s="6" t="str">
        <f>CONCATENATE("&lt;p&gt;Souffle : &lt;span class=""jauge""&gt;", IF(Tableau1[[#This Row],[Souffle]]&gt;0,Tableau1[[#This Row],[Souffle]],"-"), "&lt;/span&gt;&lt;/p&gt;")</f>
        <v>&lt;p&gt;Souffle : &lt;span class="jauge"&gt;-&lt;/span&gt;&lt;/p&gt;</v>
      </c>
      <c r="AA3" s="6" t="str">
        <f>CONCATENATE("&lt;p&gt;Concentration : &lt;span class=""jauge""&gt;",IF(Tableau1[[#This Row],[Concentration]]&gt;0,Tableau1[[#This Row],[Concentration]],"-"), "&lt;/span&gt;&lt;/p&gt;")</f>
        <v>&lt;p&gt;Concentration : &lt;span class="jauge"&gt;-&lt;/span&gt;&lt;/p&gt;</v>
      </c>
      <c r="AB3" s="6" t="str">
        <f>IF(Tableau1[[#This Row],[Adrénaline]]&gt;0,CONCATENATE("&lt;p&gt;Adrénaline : &lt;span class=""jauge""&gt;", Tableau1[[#This Row],[Adrénaline]], "&lt;/span&gt;&lt;/p&gt;"),"")</f>
        <v/>
      </c>
      <c r="AC3" s="6" t="s">
        <v>50</v>
      </c>
      <c r="AD3" s="6" t="str">
        <f>CONCATENATE("&lt;div class=""effets""&gt;",Tableau1[[#This Row],[Effets]],"&lt;/div&gt;")</f>
        <v>&lt;div class="effets"&gt;Le personnage souffle un bon coup récupérant 2 points de &lt;span class="jauge"&gt;Souffle&lt;/span&gt; et de &lt;span class="jauge"&gt;Concentration&lt;/span&gt;.&lt;/div&gt;</v>
      </c>
      <c r="AE3" s="6" t="s">
        <v>64</v>
      </c>
      <c r="AF3" s="6" t="str">
        <f>CONCATENATE(Tableau1[[#This Row],[HTML_prefix]],Tableau1[[#This Row],[HTML_nom]],Tableau1[[#This Row],[HTML_specs_prefix]],Tableau1[[#This Row],[HTML_passif]],Tableau1[[#This Row],[HTML_profil]],Tableau1[[#This Row],[HTML_innée]],Tableau1[[#This Row],[HTML_apprentissage]],Tableau1[[#This Row],[HTML_specs_col]],Tableau1[[#This Row],[HTML_Execution]],Tableau1[[#This Row],[HTML_Souffle]],Tableau1[[#This Row],[HTML_Concentration]],Tableau1[[#This Row],[HTML_Adrénaline]],Tableau1[[#This Row],[HTML_specs_suffix]],Tableau1[[#This Row],[HTML_effets]],Tableau1[[#This Row],[HTML_suffix]])</f>
        <v>&lt;div class="comp"&gt;&lt;h4 class="nom"&gt;Récupérer&lt;/h4&gt;&lt;table class="spec"&gt;&lt;tr&gt;&lt;td class="left"&gt;&lt;span class="innee"&gt;Action innée&lt;/span&gt;&lt;/td&gt;&lt;td class="right"&gt;&lt;p&gt;Exécution : &lt;span&gt;-&lt;/span&gt;&lt;/p&gt;&lt;p&gt;Souffle : &lt;span class="jauge"&gt;-&lt;/span&gt;&lt;/p&gt;&lt;p&gt;Concentration : &lt;span class="jauge"&gt;-&lt;/span&gt;&lt;/p&gt;&lt;/td&gt;&lt;/tr&gt;&lt;/table class=""spec""&gt;&lt;div class="effets"&gt;Le personnage souffle un bon coup récupérant 2 points de &lt;span class="jauge"&gt;Souffle&lt;/span&gt; et de &lt;span class="jauge"&gt;Concentration&lt;/span&gt;.&lt;/div&gt;&lt;/div&gt;</v>
      </c>
      <c r="AG3" s="8" t="str">
        <f>IF(ISBLANK(Tableau1[[#This Row],[Nom]]),"",IF(B3&lt;&gt;B2,CONCATENATE("&lt;/div&gt;&lt;div class=""voie ",Tableau1[[#This Row],[Caractéristique]],"""&gt;&lt;h3&gt;",Tableau1[[#This Row],[Voie]],"&lt;/h3&gt;",Tableau1[[#This Row],[HTML_ligne]]),Tableau1[[#This Row],[HTML_ligne]]))</f>
        <v>&lt;div class="comp"&gt;&lt;h4 class="nom"&gt;Récupérer&lt;/h4&gt;&lt;table class="spec"&gt;&lt;tr&gt;&lt;td class="left"&gt;&lt;span class="innee"&gt;Action innée&lt;/span&gt;&lt;/td&gt;&lt;td class="right"&gt;&lt;p&gt;Exécution : &lt;span&gt;-&lt;/span&gt;&lt;/p&gt;&lt;p&gt;Souffle : &lt;span class="jauge"&gt;-&lt;/span&gt;&lt;/p&gt;&lt;p&gt;Concentration : &lt;span class="jauge"&gt;-&lt;/span&gt;&lt;/p&gt;&lt;/td&gt;&lt;/tr&gt;&lt;/table class=""spec""&gt;&lt;div class="effets"&gt;Le personnage souffle un bon coup récupérant 2 points de &lt;span class="jauge"&gt;Souffle&lt;/span&gt; et de &lt;span class="jauge"&gt;Concentration&lt;/span&gt;.&lt;/div&gt;&lt;/div&gt;</v>
      </c>
    </row>
    <row r="4" spans="1:33" ht="30" x14ac:dyDescent="0.25">
      <c r="A4" s="12">
        <v>1</v>
      </c>
      <c r="B4" s="3" t="s">
        <v>10</v>
      </c>
      <c r="C4" s="10">
        <v>1</v>
      </c>
      <c r="D4" s="3" t="s">
        <v>13</v>
      </c>
      <c r="E4" s="4">
        <f>IFERROR(VLOOKUP(Tableau1[[#This Row],[Niveau]],Tableau2[],2,FALSE),"")</f>
        <v>10</v>
      </c>
      <c r="F4" s="3" t="s">
        <v>57</v>
      </c>
      <c r="G4" s="11"/>
      <c r="H4" s="11"/>
      <c r="I4" s="11"/>
      <c r="K4" s="10" t="b">
        <v>1</v>
      </c>
      <c r="N4" s="4" t="b">
        <f>IF(Tableau1[[#This Row],[Niveau]]=0,TRUE,FALSE)</f>
        <v>0</v>
      </c>
      <c r="O4" s="5" t="s">
        <v>188</v>
      </c>
      <c r="P4" s="3"/>
      <c r="Q4" s="6" t="s">
        <v>65</v>
      </c>
      <c r="R4" s="6" t="str">
        <f>CONCATENATE("&lt;h4 class=""nom""&gt;",Tableau1[[#This Row],[Nom]],"&lt;/h4&gt;")</f>
        <v>&lt;h4 class="nom"&gt;Leste&lt;/h4&gt;</v>
      </c>
      <c r="S4" s="6" t="s">
        <v>66</v>
      </c>
      <c r="T4" s="6" t="str">
        <f>IF(Tableau1[[#This Row],[Passif ?]],"&lt;span class=""passive""&gt;Action passive&lt;/span&gt;","")</f>
        <v>&lt;span class="passive"&gt;Action passive&lt;/span&gt;</v>
      </c>
      <c r="U4" s="6" t="str">
        <f>IF(ISBLANK(Tableau1[[#This Row],[Profil]]),"",CONCATENATE("&lt;span class=""profil""&gt;Profil ",Tableau1[[#This Row],[Profil]],"&lt;/span&gt;"))</f>
        <v/>
      </c>
      <c r="V4" s="6" t="str">
        <f>IF(Tableau1[[#This Row],[Innée ?]],"&lt;span class=""innee""&gt;Action innée&lt;/span&gt;","")</f>
        <v/>
      </c>
      <c r="W4" s="6" t="str">
        <f>IF(Tableau1[[#This Row],[Niveau]]&gt;0,CONCATENATE("&lt;span class=""apprentissage""&gt;Apprentissage : &lt;span&gt;",Tableau1[[#This Row],[Caractéristique]], " ",Tableau1[[#This Row],[Apprentissage]],"&lt;/span&gt;&lt;/span&gt;"),"")</f>
        <v>&lt;span class="apprentissage"&gt;Apprentissage : &lt;span&gt;Vivacité 10&lt;/span&gt;&lt;/span&gt;</v>
      </c>
      <c r="X4" s="6" t="s">
        <v>67</v>
      </c>
      <c r="Y4" s="6" t="str">
        <f>CONCATENATE("&lt;p&gt;Exécution : &lt;span&gt;", IF(Tableau1[[#This Row],[Exécution]]&gt;0,Tableau1[[#This Row],[Exécution]],"-"), "&lt;/span&gt;&lt;/p&gt;")</f>
        <v>&lt;p&gt;Exécution : &lt;span&gt;-&lt;/span&gt;&lt;/p&gt;</v>
      </c>
      <c r="Z4" s="6" t="str">
        <f>CONCATENATE("&lt;p&gt;Souffle : &lt;span class=""jauge""&gt;", IF(Tableau1[[#This Row],[Souffle]]&gt;0,Tableau1[[#This Row],[Souffle]],"-"), "&lt;/span&gt;&lt;/p&gt;")</f>
        <v>&lt;p&gt;Souffle : &lt;span class="jauge"&gt;-&lt;/span&gt;&lt;/p&gt;</v>
      </c>
      <c r="AA4" s="6" t="str">
        <f>CONCATENATE("&lt;p&gt;Concentration : &lt;span class=""jauge""&gt;",IF(Tableau1[[#This Row],[Concentration]]&gt;0,Tableau1[[#This Row],[Concentration]],"-"), "&lt;/span&gt;&lt;/p&gt;")</f>
        <v>&lt;p&gt;Concentration : &lt;span class="jauge"&gt;-&lt;/span&gt;&lt;/p&gt;</v>
      </c>
      <c r="AB4" s="6" t="str">
        <f>IF(Tableau1[[#This Row],[Adrénaline]]&gt;0,CONCATENATE("&lt;p&gt;Adrénaline : &lt;span class=""jauge""&gt;", Tableau1[[#This Row],[Adrénaline]], "&lt;/span&gt;&lt;/p&gt;"),"")</f>
        <v/>
      </c>
      <c r="AC4" s="6" t="s">
        <v>50</v>
      </c>
      <c r="AD4" s="6" t="str">
        <f>CONCATENATE("&lt;div class=""effets""&gt;",Tableau1[[#This Row],[Effets]],"&lt;/div&gt;")</f>
        <v>&lt;div class="effets"&gt;Les distances des actions de la voie du Déplacement sont augmentées de 1. De plus le test d'&lt;span class="stat"&gt;Adresse&lt;/span&gt; pour ne pas chuter en cas de terrain difficile est réduit à 12.&lt;/div&gt;</v>
      </c>
      <c r="AE4" s="6" t="s">
        <v>64</v>
      </c>
      <c r="AF4" s="6" t="str">
        <f>CONCATENATE(Tableau1[[#This Row],[HTML_prefix]],Tableau1[[#This Row],[HTML_nom]],Tableau1[[#This Row],[HTML_specs_prefix]],Tableau1[[#This Row],[HTML_passif]],Tableau1[[#This Row],[HTML_profil]],Tableau1[[#This Row],[HTML_innée]],Tableau1[[#This Row],[HTML_apprentissage]],Tableau1[[#This Row],[HTML_specs_col]],Tableau1[[#This Row],[HTML_Execution]],Tableau1[[#This Row],[HTML_Souffle]],Tableau1[[#This Row],[HTML_Concentration]],Tableau1[[#This Row],[HTML_Adrénaline]],Tableau1[[#This Row],[HTML_specs_suffix]],Tableau1[[#This Row],[HTML_effets]],Tableau1[[#This Row],[HTML_suffix]])</f>
        <v>&lt;div class="comp"&gt;&lt;h4 class="nom"&gt;Leste&lt;/h4&gt;&lt;table class="spec"&gt;&lt;tr&gt;&lt;td class="left"&gt;&lt;span class="passive"&gt;Action passive&lt;/span&gt;&lt;span class="apprentissage"&gt;Apprentissage : &lt;span&gt;Vivacité 10&lt;/span&gt;&lt;/span&gt;&lt;/td&gt;&lt;td class="right"&gt;&lt;p&gt;Exécution : &lt;span&gt;-&lt;/span&gt;&lt;/p&gt;&lt;p&gt;Souffle : &lt;span class="jauge"&gt;-&lt;/span&gt;&lt;/p&gt;&lt;p&gt;Concentration : &lt;span class="jauge"&gt;-&lt;/span&gt;&lt;/p&gt;&lt;/td&gt;&lt;/tr&gt;&lt;/table class=""spec""&gt;&lt;div class="effets"&gt;Les distances des actions de la voie du Déplacement sont augmentées de 1. De plus le test d'&lt;span class="stat"&gt;Adresse&lt;/span&gt; pour ne pas chuter en cas de terrain difficile est réduit à 12.&lt;/div&gt;&lt;/div&gt;</v>
      </c>
      <c r="AG4" s="8" t="str">
        <f>IF(ISBLANK(Tableau1[[#This Row],[Nom]]),"",IF(B4&lt;&gt;B3,CONCATENATE("&lt;/div&gt;&lt;div class=""voie ",Tableau1[[#This Row],[Caractéristique]],"""&gt;&lt;h3&gt;",Tableau1[[#This Row],[Voie]],"&lt;/h3&gt;",Tableau1[[#This Row],[HTML_ligne]]),Tableau1[[#This Row],[HTML_ligne]]))</f>
        <v>&lt;div class="comp"&gt;&lt;h4 class="nom"&gt;Leste&lt;/h4&gt;&lt;table class="spec"&gt;&lt;tr&gt;&lt;td class="left"&gt;&lt;span class="passive"&gt;Action passive&lt;/span&gt;&lt;span class="apprentissage"&gt;Apprentissage : &lt;span&gt;Vivacité 10&lt;/span&gt;&lt;/span&gt;&lt;/td&gt;&lt;td class="right"&gt;&lt;p&gt;Exécution : &lt;span&gt;-&lt;/span&gt;&lt;/p&gt;&lt;p&gt;Souffle : &lt;span class="jauge"&gt;-&lt;/span&gt;&lt;/p&gt;&lt;p&gt;Concentration : &lt;span class="jauge"&gt;-&lt;/span&gt;&lt;/p&gt;&lt;/td&gt;&lt;/tr&gt;&lt;/table class=""spec""&gt;&lt;div class="effets"&gt;Les distances des actions de la voie du Déplacement sont augmentées de 1. De plus le test d'&lt;span class="stat"&gt;Adresse&lt;/span&gt; pour ne pas chuter en cas de terrain difficile est réduit à 12.&lt;/div&gt;&lt;/div&gt;</v>
      </c>
    </row>
    <row r="5" spans="1:33" x14ac:dyDescent="0.25">
      <c r="A5" s="12">
        <v>1</v>
      </c>
      <c r="B5" s="3" t="s">
        <v>10</v>
      </c>
      <c r="C5" s="10">
        <v>1</v>
      </c>
      <c r="D5" s="3" t="s">
        <v>16</v>
      </c>
      <c r="E5" s="4">
        <f>IFERROR(VLOOKUP(Tableau1[[#This Row],[Niveau]],Tableau2[],2,FALSE),"")</f>
        <v>10</v>
      </c>
      <c r="F5" s="3" t="s">
        <v>57</v>
      </c>
      <c r="G5" s="11"/>
      <c r="K5" s="10" t="b">
        <v>1</v>
      </c>
      <c r="N5" s="4" t="b">
        <f>IF(Tableau1[[#This Row],[Niveau]]=0,TRUE,FALSE)</f>
        <v>0</v>
      </c>
      <c r="O5" s="5" t="s">
        <v>17</v>
      </c>
      <c r="P5" s="3"/>
      <c r="Q5" s="6" t="s">
        <v>65</v>
      </c>
      <c r="R5" s="6" t="str">
        <f>CONCATENATE("&lt;h4 class=""nom""&gt;",Tableau1[[#This Row],[Nom]],"&lt;/h4&gt;")</f>
        <v>&lt;h4 class="nom"&gt;Déplacement en armure&lt;/h4&gt;</v>
      </c>
      <c r="S5" s="6" t="s">
        <v>66</v>
      </c>
      <c r="T5" s="6" t="str">
        <f>IF(Tableau1[[#This Row],[Passif ?]],"&lt;span class=""passive""&gt;Action passive&lt;/span&gt;","")</f>
        <v>&lt;span class="passive"&gt;Action passive&lt;/span&gt;</v>
      </c>
      <c r="U5" s="6" t="str">
        <f>IF(ISBLANK(Tableau1[[#This Row],[Profil]]),"",CONCATENATE("&lt;span class=""profil""&gt;Profil ",Tableau1[[#This Row],[Profil]],"&lt;/span&gt;"))</f>
        <v/>
      </c>
      <c r="V5" s="6" t="str">
        <f>IF(Tableau1[[#This Row],[Innée ?]],"&lt;span class=""innee""&gt;Action innée&lt;/span&gt;","")</f>
        <v/>
      </c>
      <c r="W5" s="6" t="str">
        <f>IF(Tableau1[[#This Row],[Niveau]]&gt;0,CONCATENATE("&lt;span class=""apprentissage""&gt;Apprentissage : &lt;span&gt;",Tableau1[[#This Row],[Caractéristique]], " ",Tableau1[[#This Row],[Apprentissage]],"&lt;/span&gt;&lt;/span&gt;"),"")</f>
        <v>&lt;span class="apprentissage"&gt;Apprentissage : &lt;span&gt;Vivacité 10&lt;/span&gt;&lt;/span&gt;</v>
      </c>
      <c r="X5" s="6" t="s">
        <v>67</v>
      </c>
      <c r="Y5" s="6" t="str">
        <f>CONCATENATE("&lt;p&gt;Exécution : &lt;span&gt;", IF(Tableau1[[#This Row],[Exécution]]&gt;0,Tableau1[[#This Row],[Exécution]],"-"), "&lt;/span&gt;&lt;/p&gt;")</f>
        <v>&lt;p&gt;Exécution : &lt;span&gt;-&lt;/span&gt;&lt;/p&gt;</v>
      </c>
      <c r="Z5" s="6" t="str">
        <f>CONCATENATE("&lt;p&gt;Souffle : &lt;span class=""jauge""&gt;", IF(Tableau1[[#This Row],[Souffle]]&gt;0,Tableau1[[#This Row],[Souffle]],"-"), "&lt;/span&gt;&lt;/p&gt;")</f>
        <v>&lt;p&gt;Souffle : &lt;span class="jauge"&gt;-&lt;/span&gt;&lt;/p&gt;</v>
      </c>
      <c r="AA5" s="6" t="str">
        <f>CONCATENATE("&lt;p&gt;Concentration : &lt;span class=""jauge""&gt;",IF(Tableau1[[#This Row],[Concentration]]&gt;0,Tableau1[[#This Row],[Concentration]],"-"), "&lt;/span&gt;&lt;/p&gt;")</f>
        <v>&lt;p&gt;Concentration : &lt;span class="jauge"&gt;-&lt;/span&gt;&lt;/p&gt;</v>
      </c>
      <c r="AB5" s="6" t="str">
        <f>IF(Tableau1[[#This Row],[Adrénaline]]&gt;0,CONCATENATE("&lt;p&gt;Adrénaline : &lt;span class=""jauge""&gt;", Tableau1[[#This Row],[Adrénaline]], "&lt;/span&gt;&lt;/p&gt;"),"")</f>
        <v/>
      </c>
      <c r="AC5" s="6" t="s">
        <v>50</v>
      </c>
      <c r="AD5" s="6" t="str">
        <f>CONCATENATE("&lt;div class=""effets""&gt;",Tableau1[[#This Row],[Effets]],"&lt;/div&gt;")</f>
        <v>&lt;div class="effets"&gt;Le personnage n’est plus ralenti lorsqu’il porte une armure (cf. section équipement).&lt;/div&gt;</v>
      </c>
      <c r="AE5" s="6" t="s">
        <v>64</v>
      </c>
      <c r="AF5" s="6" t="str">
        <f>CONCATENATE(Tableau1[[#This Row],[HTML_prefix]],Tableau1[[#This Row],[HTML_nom]],Tableau1[[#This Row],[HTML_specs_prefix]],Tableau1[[#This Row],[HTML_passif]],Tableau1[[#This Row],[HTML_profil]],Tableau1[[#This Row],[HTML_innée]],Tableau1[[#This Row],[HTML_apprentissage]],Tableau1[[#This Row],[HTML_specs_col]],Tableau1[[#This Row],[HTML_Execution]],Tableau1[[#This Row],[HTML_Souffle]],Tableau1[[#This Row],[HTML_Concentration]],Tableau1[[#This Row],[HTML_Adrénaline]],Tableau1[[#This Row],[HTML_specs_suffix]],Tableau1[[#This Row],[HTML_effets]],Tableau1[[#This Row],[HTML_suffix]])</f>
        <v>&lt;div class="comp"&gt;&lt;h4 class="nom"&gt;Déplacement en armure&lt;/h4&gt;&lt;table class="spec"&gt;&lt;tr&gt;&lt;td class="left"&gt;&lt;span class="passive"&gt;Action passive&lt;/span&gt;&lt;span class="apprentissage"&gt;Apprentissage : &lt;span&gt;Vivacité 10&lt;/span&gt;&lt;/span&gt;&lt;/td&gt;&lt;td class="right"&gt;&lt;p&gt;Exécution : &lt;span&gt;-&lt;/span&gt;&lt;/p&gt;&lt;p&gt;Souffle : &lt;span class="jauge"&gt;-&lt;/span&gt;&lt;/p&gt;&lt;p&gt;Concentration : &lt;span class="jauge"&gt;-&lt;/span&gt;&lt;/p&gt;&lt;/td&gt;&lt;/tr&gt;&lt;/table class=""spec""&gt;&lt;div class="effets"&gt;Le personnage n’est plus ralenti lorsqu’il porte une armure (cf. section équipement).&lt;/div&gt;&lt;/div&gt;</v>
      </c>
      <c r="AG5" s="8" t="str">
        <f>IF(ISBLANK(Tableau1[[#This Row],[Nom]]),"",IF(B5&lt;&gt;B4,CONCATENATE("&lt;/div&gt;&lt;div class=""voie ",Tableau1[[#This Row],[Caractéristique]],"""&gt;&lt;h3&gt;",Tableau1[[#This Row],[Voie]],"&lt;/h3&gt;",Tableau1[[#This Row],[HTML_ligne]]),Tableau1[[#This Row],[HTML_ligne]]))</f>
        <v>&lt;div class="comp"&gt;&lt;h4 class="nom"&gt;Déplacement en armure&lt;/h4&gt;&lt;table class="spec"&gt;&lt;tr&gt;&lt;td class="left"&gt;&lt;span class="passive"&gt;Action passive&lt;/span&gt;&lt;span class="apprentissage"&gt;Apprentissage : &lt;span&gt;Vivacité 10&lt;/span&gt;&lt;/span&gt;&lt;/td&gt;&lt;td class="right"&gt;&lt;p&gt;Exécution : &lt;span&gt;-&lt;/span&gt;&lt;/p&gt;&lt;p&gt;Souffle : &lt;span class="jauge"&gt;-&lt;/span&gt;&lt;/p&gt;&lt;p&gt;Concentration : &lt;span class="jauge"&gt;-&lt;/span&gt;&lt;/p&gt;&lt;/td&gt;&lt;/tr&gt;&lt;/table class=""spec""&gt;&lt;div class="effets"&gt;Le personnage n’est plus ralenti lorsqu’il porte une armure (cf. section équipement).&lt;/div&gt;&lt;/div&gt;</v>
      </c>
    </row>
    <row r="6" spans="1:33" x14ac:dyDescent="0.25">
      <c r="A6" s="12">
        <v>1</v>
      </c>
      <c r="B6" s="3" t="s">
        <v>10</v>
      </c>
      <c r="C6" s="10">
        <v>1</v>
      </c>
      <c r="D6" s="3" t="s">
        <v>187</v>
      </c>
      <c r="E6" s="4">
        <f>IFERROR(VLOOKUP(Tableau1[[#This Row],[Niveau]],Tableau2[],2,FALSE),"")</f>
        <v>10</v>
      </c>
      <c r="F6" s="3" t="s">
        <v>57</v>
      </c>
      <c r="G6" s="10">
        <v>3</v>
      </c>
      <c r="H6" s="10">
        <v>1</v>
      </c>
      <c r="N6" s="4" t="b">
        <f>IF(Tableau1[[#This Row],[Niveau]]=0,TRUE,FALSE)</f>
        <v>0</v>
      </c>
      <c r="O6" s="5" t="s">
        <v>189</v>
      </c>
      <c r="Q6" s="6" t="s">
        <v>65</v>
      </c>
      <c r="R6" s="6" t="str">
        <f>CONCATENATE("&lt;h4 class=""nom""&gt;",Tableau1[[#This Row],[Nom]],"&lt;/h4&gt;")</f>
        <v>&lt;h4 class="nom"&gt;Sprinter&lt;/h4&gt;</v>
      </c>
      <c r="S6" s="6" t="s">
        <v>66</v>
      </c>
      <c r="T6" s="6" t="str">
        <f>IF(Tableau1[[#This Row],[Passif ?]],"&lt;span class=""passive""&gt;Action passive&lt;/span&gt;","")</f>
        <v/>
      </c>
      <c r="U6" s="6" t="str">
        <f>IF(ISBLANK(Tableau1[[#This Row],[Profil]]),"",CONCATENATE("&lt;span class=""profil""&gt;Profil ",Tableau1[[#This Row],[Profil]],"&lt;/span&gt;"))</f>
        <v/>
      </c>
      <c r="V6" s="6" t="str">
        <f>IF(Tableau1[[#This Row],[Innée ?]],"&lt;span class=""innee""&gt;Action innée&lt;/span&gt;","")</f>
        <v/>
      </c>
      <c r="W6" s="6" t="str">
        <f>IF(Tableau1[[#This Row],[Niveau]]&gt;0,CONCATENATE("&lt;span class=""apprentissage""&gt;Apprentissage : &lt;span&gt;",Tableau1[[#This Row],[Caractéristique]], " ",Tableau1[[#This Row],[Apprentissage]],"&lt;/span&gt;&lt;/span&gt;"),"")</f>
        <v>&lt;span class="apprentissage"&gt;Apprentissage : &lt;span&gt;Vivacité 10&lt;/span&gt;&lt;/span&gt;</v>
      </c>
      <c r="X6" s="6" t="s">
        <v>67</v>
      </c>
      <c r="Y6" s="6" t="str">
        <f>CONCATENATE("&lt;p&gt;Exécution : &lt;span&gt;", IF(Tableau1[[#This Row],[Exécution]]&gt;0,Tableau1[[#This Row],[Exécution]],"-"), "&lt;/span&gt;&lt;/p&gt;")</f>
        <v>&lt;p&gt;Exécution : &lt;span&gt;3&lt;/span&gt;&lt;/p&gt;</v>
      </c>
      <c r="Z6" s="6" t="str">
        <f>CONCATENATE("&lt;p&gt;Souffle : &lt;span class=""jauge""&gt;", IF(Tableau1[[#This Row],[Souffle]]&gt;0,Tableau1[[#This Row],[Souffle]],"-"), "&lt;/span&gt;&lt;/p&gt;")</f>
        <v>&lt;p&gt;Souffle : &lt;span class="jauge"&gt;1&lt;/span&gt;&lt;/p&gt;</v>
      </c>
      <c r="AA6" s="6" t="str">
        <f>CONCATENATE("&lt;p&gt;Concentration : &lt;span class=""jauge""&gt;",IF(Tableau1[[#This Row],[Concentration]]&gt;0,Tableau1[[#This Row],[Concentration]],"-"), "&lt;/span&gt;&lt;/p&gt;")</f>
        <v>&lt;p&gt;Concentration : &lt;span class="jauge"&gt;-&lt;/span&gt;&lt;/p&gt;</v>
      </c>
      <c r="AB6" s="6" t="str">
        <f>IF(Tableau1[[#This Row],[Adrénaline]]&gt;0,CONCATENATE("&lt;p&gt;Adrénaline : &lt;span class=""jauge""&gt;", Tableau1[[#This Row],[Adrénaline]], "&lt;/span&gt;&lt;/p&gt;"),"")</f>
        <v/>
      </c>
      <c r="AC6" s="6" t="s">
        <v>50</v>
      </c>
      <c r="AD6" s="6" t="str">
        <f>CONCATENATE("&lt;div class=""effets""&gt;",Tableau1[[#This Row],[Effets]],"&lt;/div&gt;")</f>
        <v>&lt;div class="effets"&gt;Une action qui permet au personnage de se déplacer de 12m.&lt;/div&gt;</v>
      </c>
      <c r="AE6" s="6" t="s">
        <v>64</v>
      </c>
      <c r="AF6" s="6" t="str">
        <f>CONCATENATE(Tableau1[[#This Row],[HTML_prefix]],Tableau1[[#This Row],[HTML_nom]],Tableau1[[#This Row],[HTML_specs_prefix]],Tableau1[[#This Row],[HTML_passif]],Tableau1[[#This Row],[HTML_profil]],Tableau1[[#This Row],[HTML_innée]],Tableau1[[#This Row],[HTML_apprentissage]],Tableau1[[#This Row],[HTML_specs_col]],Tableau1[[#This Row],[HTML_Execution]],Tableau1[[#This Row],[HTML_Souffle]],Tableau1[[#This Row],[HTML_Concentration]],Tableau1[[#This Row],[HTML_Adrénaline]],Tableau1[[#This Row],[HTML_specs_suffix]],Tableau1[[#This Row],[HTML_effets]],Tableau1[[#This Row],[HTML_suffix]])</f>
        <v>&lt;div class="comp"&gt;&lt;h4 class="nom"&gt;Sprinter&lt;/h4&gt;&lt;table class="spec"&gt;&lt;tr&gt;&lt;td class="left"&gt;&lt;span class="apprentissage"&gt;Apprentissage : &lt;span&gt;Vivacité 10&lt;/span&gt;&lt;/span&gt;&lt;/td&gt;&lt;td class="right"&gt;&lt;p&gt;Exécution : &lt;span&gt;3&lt;/span&gt;&lt;/p&gt;&lt;p&gt;Souffle : &lt;span class="jauge"&gt;1&lt;/span&gt;&lt;/p&gt;&lt;p&gt;Concentration : &lt;span class="jauge"&gt;-&lt;/span&gt;&lt;/p&gt;&lt;/td&gt;&lt;/tr&gt;&lt;/table class=""spec""&gt;&lt;div class="effets"&gt;Une action qui permet au personnage de se déplacer de 12m.&lt;/div&gt;&lt;/div&gt;</v>
      </c>
      <c r="AG6" s="8" t="str">
        <f>IF(ISBLANK(Tableau1[[#This Row],[Nom]]),"",IF(B6&lt;&gt;B5,CONCATENATE("&lt;/div&gt;&lt;div class=""voie ",Tableau1[[#This Row],[Caractéristique]],"""&gt;&lt;h3&gt;",Tableau1[[#This Row],[Voie]],"&lt;/h3&gt;",Tableau1[[#This Row],[HTML_ligne]]),Tableau1[[#This Row],[HTML_ligne]]))</f>
        <v>&lt;div class="comp"&gt;&lt;h4 class="nom"&gt;Sprinter&lt;/h4&gt;&lt;table class="spec"&gt;&lt;tr&gt;&lt;td class="left"&gt;&lt;span class="apprentissage"&gt;Apprentissage : &lt;span&gt;Vivacité 10&lt;/span&gt;&lt;/span&gt;&lt;/td&gt;&lt;td class="right"&gt;&lt;p&gt;Exécution : &lt;span&gt;3&lt;/span&gt;&lt;/p&gt;&lt;p&gt;Souffle : &lt;span class="jauge"&gt;1&lt;/span&gt;&lt;/p&gt;&lt;p&gt;Concentration : &lt;span class="jauge"&gt;-&lt;/span&gt;&lt;/p&gt;&lt;/td&gt;&lt;/tr&gt;&lt;/table class=""spec""&gt;&lt;div class="effets"&gt;Une action qui permet au personnage de se déplacer de 12m.&lt;/div&gt;&lt;/div&gt;</v>
      </c>
    </row>
    <row r="7" spans="1:33" x14ac:dyDescent="0.25">
      <c r="A7" s="12">
        <v>1</v>
      </c>
      <c r="B7" s="3" t="s">
        <v>10</v>
      </c>
      <c r="C7" s="10">
        <v>2</v>
      </c>
      <c r="D7" s="3" t="s">
        <v>24</v>
      </c>
      <c r="E7" s="4">
        <f>IFERROR(VLOOKUP(Tableau1[[#This Row],[Niveau]],Tableau2[],2,FALSE),"")</f>
        <v>15</v>
      </c>
      <c r="F7" s="3" t="s">
        <v>57</v>
      </c>
      <c r="K7" s="10" t="b">
        <v>1</v>
      </c>
      <c r="N7" s="4" t="b">
        <f>IF(Tableau1[[#This Row],[Niveau]]=0,TRUE,FALSE)</f>
        <v>0</v>
      </c>
      <c r="O7" s="5" t="s">
        <v>104</v>
      </c>
      <c r="P7" s="3"/>
      <c r="Q7" s="6" t="s">
        <v>65</v>
      </c>
      <c r="R7" s="6" t="str">
        <f>CONCATENATE("&lt;h4 class=""nom""&gt;",Tableau1[[#This Row],[Nom]],"&lt;/h4&gt;")</f>
        <v>&lt;h4 class="nom"&gt;Replacement stratégique&lt;/h4&gt;</v>
      </c>
      <c r="S7" s="6" t="s">
        <v>66</v>
      </c>
      <c r="T7" s="6" t="str">
        <f>IF(Tableau1[[#This Row],[Passif ?]],"&lt;span class=""passive""&gt;Action passive&lt;/span&gt;","")</f>
        <v>&lt;span class="passive"&gt;Action passive&lt;/span&gt;</v>
      </c>
      <c r="U7" s="6" t="str">
        <f>IF(ISBLANK(Tableau1[[#This Row],[Profil]]),"",CONCATENATE("&lt;span class=""profil""&gt;Profil ",Tableau1[[#This Row],[Profil]],"&lt;/span&gt;"))</f>
        <v/>
      </c>
      <c r="V7" s="6" t="str">
        <f>IF(Tableau1[[#This Row],[Innée ?]],"&lt;span class=""innee""&gt;Action innée&lt;/span&gt;","")</f>
        <v/>
      </c>
      <c r="W7" s="6" t="str">
        <f>IF(Tableau1[[#This Row],[Niveau]]&gt;0,CONCATENATE("&lt;span class=""apprentissage""&gt;Apprentissage : &lt;span&gt;",Tableau1[[#This Row],[Caractéristique]], " ",Tableau1[[#This Row],[Apprentissage]],"&lt;/span&gt;&lt;/span&gt;"),"")</f>
        <v>&lt;span class="apprentissage"&gt;Apprentissage : &lt;span&gt;Vivacité 15&lt;/span&gt;&lt;/span&gt;</v>
      </c>
      <c r="X7" s="6" t="s">
        <v>67</v>
      </c>
      <c r="Y7" s="6" t="str">
        <f>CONCATENATE("&lt;p&gt;Exécution : &lt;span&gt;", IF(Tableau1[[#This Row],[Exécution]]&gt;0,Tableau1[[#This Row],[Exécution]],"-"), "&lt;/span&gt;&lt;/p&gt;")</f>
        <v>&lt;p&gt;Exécution : &lt;span&gt;-&lt;/span&gt;&lt;/p&gt;</v>
      </c>
      <c r="Z7" s="6" t="str">
        <f>CONCATENATE("&lt;p&gt;Souffle : &lt;span class=""jauge""&gt;", IF(Tableau1[[#This Row],[Souffle]]&gt;0,Tableau1[[#This Row],[Souffle]],"-"), "&lt;/span&gt;&lt;/p&gt;")</f>
        <v>&lt;p&gt;Souffle : &lt;span class="jauge"&gt;-&lt;/span&gt;&lt;/p&gt;</v>
      </c>
      <c r="AA7" s="6" t="str">
        <f>CONCATENATE("&lt;p&gt;Concentration : &lt;span class=""jauge""&gt;",IF(Tableau1[[#This Row],[Concentration]]&gt;0,Tableau1[[#This Row],[Concentration]],"-"), "&lt;/span&gt;&lt;/p&gt;")</f>
        <v>&lt;p&gt;Concentration : &lt;span class="jauge"&gt;-&lt;/span&gt;&lt;/p&gt;</v>
      </c>
      <c r="AB7" s="6" t="str">
        <f>IF(Tableau1[[#This Row],[Adrénaline]]&gt;0,CONCATENATE("&lt;p&gt;Adrénaline : &lt;span class=""jauge""&gt;", Tableau1[[#This Row],[Adrénaline]], "&lt;/span&gt;&lt;/p&gt;"),"")</f>
        <v/>
      </c>
      <c r="AC7" s="6" t="s">
        <v>50</v>
      </c>
      <c r="AD7" s="6" t="str">
        <f>CONCATENATE("&lt;div class=""effets""&gt;",Tableau1[[#This Row],[Effets]],"&lt;/div&gt;")</f>
        <v>&lt;div class="effets"&gt;Avant ou après avoir réalisé une action autre que courir, le personnage peut se déplacer de 3m.&lt;/div&gt;</v>
      </c>
      <c r="AE7" s="6" t="s">
        <v>64</v>
      </c>
      <c r="AF7" s="6" t="str">
        <f>CONCATENATE(Tableau1[[#This Row],[HTML_prefix]],Tableau1[[#This Row],[HTML_nom]],Tableau1[[#This Row],[HTML_specs_prefix]],Tableau1[[#This Row],[HTML_passif]],Tableau1[[#This Row],[HTML_profil]],Tableau1[[#This Row],[HTML_innée]],Tableau1[[#This Row],[HTML_apprentissage]],Tableau1[[#This Row],[HTML_specs_col]],Tableau1[[#This Row],[HTML_Execution]],Tableau1[[#This Row],[HTML_Souffle]],Tableau1[[#This Row],[HTML_Concentration]],Tableau1[[#This Row],[HTML_Adrénaline]],Tableau1[[#This Row],[HTML_specs_suffix]],Tableau1[[#This Row],[HTML_effets]],Tableau1[[#This Row],[HTML_suffix]])</f>
        <v>&lt;div class="comp"&gt;&lt;h4 class="nom"&gt;Replacement stratégique&lt;/h4&gt;&lt;table class="spec"&gt;&lt;tr&gt;&lt;td class="left"&gt;&lt;span class="passive"&gt;Action passive&lt;/span&gt;&lt;span class="apprentissage"&gt;Apprentissage : &lt;span&gt;Vivacité 15&lt;/span&gt;&lt;/span&gt;&lt;/td&gt;&lt;td class="right"&gt;&lt;p&gt;Exécution : &lt;span&gt;-&lt;/span&gt;&lt;/p&gt;&lt;p&gt;Souffle : &lt;span class="jauge"&gt;-&lt;/span&gt;&lt;/p&gt;&lt;p&gt;Concentration : &lt;span class="jauge"&gt;-&lt;/span&gt;&lt;/p&gt;&lt;/td&gt;&lt;/tr&gt;&lt;/table class=""spec""&gt;&lt;div class="effets"&gt;Avant ou après avoir réalisé une action autre que courir, le personnage peut se déplacer de 3m.&lt;/div&gt;&lt;/div&gt;</v>
      </c>
      <c r="AG7" s="8" t="str">
        <f>IF(ISBLANK(Tableau1[[#This Row],[Nom]]),"",IF(B7&lt;&gt;B6,CONCATENATE("&lt;/div&gt;&lt;div class=""voie ",Tableau1[[#This Row],[Caractéristique]],"""&gt;&lt;h3&gt;",Tableau1[[#This Row],[Voie]],"&lt;/h3&gt;",Tableau1[[#This Row],[HTML_ligne]]),Tableau1[[#This Row],[HTML_ligne]]))</f>
        <v>&lt;div class="comp"&gt;&lt;h4 class="nom"&gt;Replacement stratégique&lt;/h4&gt;&lt;table class="spec"&gt;&lt;tr&gt;&lt;td class="left"&gt;&lt;span class="passive"&gt;Action passive&lt;/span&gt;&lt;span class="apprentissage"&gt;Apprentissage : &lt;span&gt;Vivacité 15&lt;/span&gt;&lt;/span&gt;&lt;/td&gt;&lt;td class="right"&gt;&lt;p&gt;Exécution : &lt;span&gt;-&lt;/span&gt;&lt;/p&gt;&lt;p&gt;Souffle : &lt;span class="jauge"&gt;-&lt;/span&gt;&lt;/p&gt;&lt;p&gt;Concentration : &lt;span class="jauge"&gt;-&lt;/span&gt;&lt;/p&gt;&lt;/td&gt;&lt;/tr&gt;&lt;/table class=""spec""&gt;&lt;div class="effets"&gt;Avant ou après avoir réalisé une action autre que courir, le personnage peut se déplacer de 3m.&lt;/div&gt;&lt;/div&gt;</v>
      </c>
    </row>
    <row r="8" spans="1:33" x14ac:dyDescent="0.25">
      <c r="A8" s="12">
        <v>2</v>
      </c>
      <c r="B8" s="3" t="s">
        <v>19</v>
      </c>
      <c r="C8" s="10">
        <v>0</v>
      </c>
      <c r="D8" s="3" t="s">
        <v>26</v>
      </c>
      <c r="E8" s="4">
        <f>IFERROR(VLOOKUP(Tableau1[[#This Row],[Niveau]],Tableau2[],2,FALSE),"")</f>
        <v>0</v>
      </c>
      <c r="F8" s="3" t="s">
        <v>58</v>
      </c>
      <c r="G8" s="10">
        <v>5</v>
      </c>
      <c r="L8" s="10" t="b">
        <v>1</v>
      </c>
      <c r="M8" s="25" t="s">
        <v>37</v>
      </c>
      <c r="N8" s="4" t="b">
        <f>IF(Tableau1[[#This Row],[Niveau]]=0,TRUE,FALSE)</f>
        <v>1</v>
      </c>
      <c r="O8" s="5" t="s">
        <v>74</v>
      </c>
      <c r="P8" s="3"/>
      <c r="Q8" s="6" t="s">
        <v>65</v>
      </c>
      <c r="R8" s="6" t="str">
        <f>CONCATENATE("&lt;h4 class=""nom""&gt;",Tableau1[[#This Row],[Nom]],"&lt;/h4&gt;")</f>
        <v>&lt;h4 class="nom"&gt;Coup précis&lt;/h4&gt;</v>
      </c>
      <c r="S8" s="6" t="s">
        <v>66</v>
      </c>
      <c r="T8" s="6" t="str">
        <f>IF(Tableau1[[#This Row],[Passif ?]],"&lt;span class=""passive""&gt;Action passive&lt;/span&gt;","")</f>
        <v/>
      </c>
      <c r="U8" s="6" t="str">
        <f>IF(ISBLANK(Tableau1[[#This Row],[Profil]]),"",CONCATENATE("&lt;span class=""profil""&gt;Profil ",Tableau1[[#This Row],[Profil]],"&lt;/span&gt;"))</f>
        <v>&lt;span class="profil"&gt;Profil Précis&lt;/span&gt;</v>
      </c>
      <c r="V8" s="6" t="str">
        <f>IF(Tableau1[[#This Row],[Innée ?]],"&lt;span class=""innee""&gt;Action innée&lt;/span&gt;","")</f>
        <v>&lt;span class="innee"&gt;Action innée&lt;/span&gt;</v>
      </c>
      <c r="W8" s="6" t="str">
        <f>IF(Tableau1[[#This Row],[Niveau]]&gt;0,CONCATENATE("&lt;span class=""apprentissage""&gt;Apprentissage : &lt;span&gt;",Tableau1[[#This Row],[Caractéristique]], " ",Tableau1[[#This Row],[Apprentissage]],"&lt;/span&gt;&lt;/span&gt;"),"")</f>
        <v/>
      </c>
      <c r="X8" s="6" t="s">
        <v>67</v>
      </c>
      <c r="Y8" s="6" t="str">
        <f>CONCATENATE("&lt;p&gt;Exécution : &lt;span&gt;", IF(Tableau1[[#This Row],[Exécution]]&gt;0,Tableau1[[#This Row],[Exécution]],"-"), "&lt;/span&gt;&lt;/p&gt;")</f>
        <v>&lt;p&gt;Exécution : &lt;span&gt;5&lt;/span&gt;&lt;/p&gt;</v>
      </c>
      <c r="Z8" s="6" t="str">
        <f>CONCATENATE("&lt;p&gt;Souffle : &lt;span class=""jauge""&gt;", IF(Tableau1[[#This Row],[Souffle]]&gt;0,Tableau1[[#This Row],[Souffle]],"-"), "&lt;/span&gt;&lt;/p&gt;")</f>
        <v>&lt;p&gt;Souffle : &lt;span class="jauge"&gt;-&lt;/span&gt;&lt;/p&gt;</v>
      </c>
      <c r="AA8" s="6" t="str">
        <f>CONCATENATE("&lt;p&gt;Concentration : &lt;span class=""jauge""&gt;",IF(Tableau1[[#This Row],[Concentration]]&gt;0,Tableau1[[#This Row],[Concentration]],"-"), "&lt;/span&gt;&lt;/p&gt;")</f>
        <v>&lt;p&gt;Concentration : &lt;span class="jauge"&gt;-&lt;/span&gt;&lt;/p&gt;</v>
      </c>
      <c r="AB8" s="6" t="str">
        <f>IF(Tableau1[[#This Row],[Adrénaline]]&gt;0,CONCATENATE("&lt;p&gt;Adrénaline : &lt;span class=""jauge""&gt;", Tableau1[[#This Row],[Adrénaline]], "&lt;/span&gt;&lt;/p&gt;"),"")</f>
        <v/>
      </c>
      <c r="AC8" s="6" t="s">
        <v>50</v>
      </c>
      <c r="AD8" s="6" t="str">
        <f>CONCATENATE("&lt;div class=""effets""&gt;",Tableau1[[#This Row],[Effets]],"&lt;/div&gt;")</f>
        <v>&lt;div class="effets"&gt;Un coup visant une zone précise pour un effet maximal. Lors de l'attaque, le personnage lance deux dés de localisation et choisit celui qui l'intéresse.&lt;/div&gt;</v>
      </c>
      <c r="AE8" s="6" t="s">
        <v>64</v>
      </c>
      <c r="AF8" s="6" t="str">
        <f>CONCATENATE(Tableau1[[#This Row],[HTML_prefix]],Tableau1[[#This Row],[HTML_nom]],Tableau1[[#This Row],[HTML_specs_prefix]],Tableau1[[#This Row],[HTML_passif]],Tableau1[[#This Row],[HTML_profil]],Tableau1[[#This Row],[HTML_innée]],Tableau1[[#This Row],[HTML_apprentissage]],Tableau1[[#This Row],[HTML_specs_col]],Tableau1[[#This Row],[HTML_Execution]],Tableau1[[#This Row],[HTML_Souffle]],Tableau1[[#This Row],[HTML_Concentration]],Tableau1[[#This Row],[HTML_Adrénaline]],Tableau1[[#This Row],[HTML_specs_suffix]],Tableau1[[#This Row],[HTML_effets]],Tableau1[[#This Row],[HTML_suffix]])</f>
        <v>&lt;div class="comp"&gt;&lt;h4 class="nom"&gt;Coup précis&lt;/h4&gt;&lt;table class="spec"&gt;&lt;tr&gt;&lt;td class="left"&gt;&lt;span class="profil"&gt;Profil Précis&lt;/span&gt;&lt;span class="innee"&gt;Action innée&lt;/span&gt;&lt;/td&gt;&lt;td class="right"&gt;&lt;p&gt;Exécution : &lt;span&gt;5&lt;/span&gt;&lt;/p&gt;&lt;p&gt;Souffle : &lt;span class="jauge"&gt;-&lt;/span&gt;&lt;/p&gt;&lt;p&gt;Concentration : &lt;span class="jauge"&gt;-&lt;/span&gt;&lt;/p&gt;&lt;/td&gt;&lt;/tr&gt;&lt;/table class=""spec""&gt;&lt;div class="effets"&gt;Un coup visant une zone précise pour un effet maximal. Lors de l'attaque, le personnage lance deux dés de localisation et choisit celui qui l'intéresse.&lt;/div&gt;&lt;/div&gt;</v>
      </c>
      <c r="AG8" s="8" t="str">
        <f>IF(ISBLANK(Tableau1[[#This Row],[Nom]]),"",IF(B8&lt;&gt;B7,CONCATENATE("&lt;/div&gt;&lt;div class=""voie ",Tableau1[[#This Row],[Caractéristique]],"""&gt;&lt;h3&gt;",Tableau1[[#This Row],[Voie]],"&lt;/h3&gt;",Tableau1[[#This Row],[HTML_ligne]]),Tableau1[[#This Row],[HTML_ligne]]))</f>
        <v>&lt;/div&gt;&lt;div class="voie Adresse"&gt;&lt;h3&gt;Précision&lt;/h3&gt;&lt;div class="comp"&gt;&lt;h4 class="nom"&gt;Coup précis&lt;/h4&gt;&lt;table class="spec"&gt;&lt;tr&gt;&lt;td class="left"&gt;&lt;span class="profil"&gt;Profil Précis&lt;/span&gt;&lt;span class="innee"&gt;Action innée&lt;/span&gt;&lt;/td&gt;&lt;td class="right"&gt;&lt;p&gt;Exécution : &lt;span&gt;5&lt;/span&gt;&lt;/p&gt;&lt;p&gt;Souffle : &lt;span class="jauge"&gt;-&lt;/span&gt;&lt;/p&gt;&lt;p&gt;Concentration : &lt;span class="jauge"&gt;-&lt;/span&gt;&lt;/p&gt;&lt;/td&gt;&lt;/tr&gt;&lt;/table class=""spec""&gt;&lt;div class="effets"&gt;Un coup visant une zone précise pour un effet maximal. Lors de l'attaque, le personnage lance deux dés de localisation et choisit celui qui l'intéresse.&lt;/div&gt;&lt;/div&gt;</v>
      </c>
    </row>
    <row r="9" spans="1:33" x14ac:dyDescent="0.25">
      <c r="A9" s="12">
        <v>2</v>
      </c>
      <c r="B9" s="3" t="s">
        <v>19</v>
      </c>
      <c r="C9" s="10">
        <v>1</v>
      </c>
      <c r="D9" s="3" t="s">
        <v>76</v>
      </c>
      <c r="E9" s="4">
        <f>IFERROR(VLOOKUP(Tableau1[[#This Row],[Niveau]],Tableau2[],2,FALSE),"")</f>
        <v>10</v>
      </c>
      <c r="F9" s="3" t="s">
        <v>58</v>
      </c>
      <c r="K9" s="10" t="b">
        <v>1</v>
      </c>
      <c r="N9" s="4" t="b">
        <f>IF(Tableau1[[#This Row],[Niveau]]=0,TRUE,FALSE)</f>
        <v>0</v>
      </c>
      <c r="O9" s="5" t="s">
        <v>40</v>
      </c>
      <c r="P9" s="3"/>
      <c r="Q9" s="6" t="s">
        <v>65</v>
      </c>
      <c r="R9" s="6" t="str">
        <f>CONCATENATE("&lt;h4 class=""nom""&gt;",Tableau1[[#This Row],[Nom]],"&lt;/h4&gt;")</f>
        <v>&lt;h4 class="nom"&gt;Encore plus précis !&lt;/h4&gt;</v>
      </c>
      <c r="S9" s="6" t="s">
        <v>66</v>
      </c>
      <c r="T9" s="6" t="str">
        <f>IF(Tableau1[[#This Row],[Passif ?]],"&lt;span class=""passive""&gt;Action passive&lt;/span&gt;","")</f>
        <v>&lt;span class="passive"&gt;Action passive&lt;/span&gt;</v>
      </c>
      <c r="U9" s="6" t="str">
        <f>IF(ISBLANK(Tableau1[[#This Row],[Profil]]),"",CONCATENATE("&lt;span class=""profil""&gt;Profil ",Tableau1[[#This Row],[Profil]],"&lt;/span&gt;"))</f>
        <v/>
      </c>
      <c r="V9" s="6" t="str">
        <f>IF(Tableau1[[#This Row],[Innée ?]],"&lt;span class=""innee""&gt;Action innée&lt;/span&gt;","")</f>
        <v/>
      </c>
      <c r="W9" s="6" t="str">
        <f>IF(Tableau1[[#This Row],[Niveau]]&gt;0,CONCATENATE("&lt;span class=""apprentissage""&gt;Apprentissage : &lt;span&gt;",Tableau1[[#This Row],[Caractéristique]], " ",Tableau1[[#This Row],[Apprentissage]],"&lt;/span&gt;&lt;/span&gt;"),"")</f>
        <v>&lt;span class="apprentissage"&gt;Apprentissage : &lt;span&gt;Adresse 10&lt;/span&gt;&lt;/span&gt;</v>
      </c>
      <c r="X9" s="6" t="s">
        <v>67</v>
      </c>
      <c r="Y9" s="6" t="str">
        <f>CONCATENATE("&lt;p&gt;Exécution : &lt;span&gt;", IF(Tableau1[[#This Row],[Exécution]]&gt;0,Tableau1[[#This Row],[Exécution]],"-"), "&lt;/span&gt;&lt;/p&gt;")</f>
        <v>&lt;p&gt;Exécution : &lt;span&gt;-&lt;/span&gt;&lt;/p&gt;</v>
      </c>
      <c r="Z9" s="6" t="str">
        <f>CONCATENATE("&lt;p&gt;Souffle : &lt;span class=""jauge""&gt;", IF(Tableau1[[#This Row],[Souffle]]&gt;0,Tableau1[[#This Row],[Souffle]],"-"), "&lt;/span&gt;&lt;/p&gt;")</f>
        <v>&lt;p&gt;Souffle : &lt;span class="jauge"&gt;-&lt;/span&gt;&lt;/p&gt;</v>
      </c>
      <c r="AA9" s="6" t="str">
        <f>CONCATENATE("&lt;p&gt;Concentration : &lt;span class=""jauge""&gt;",IF(Tableau1[[#This Row],[Concentration]]&gt;0,Tableau1[[#This Row],[Concentration]],"-"), "&lt;/span&gt;&lt;/p&gt;")</f>
        <v>&lt;p&gt;Concentration : &lt;span class="jauge"&gt;-&lt;/span&gt;&lt;/p&gt;</v>
      </c>
      <c r="AB9" s="6" t="str">
        <f>IF(Tableau1[[#This Row],[Adrénaline]]&gt;0,CONCATENATE("&lt;p&gt;Adrénaline : &lt;span class=""jauge""&gt;", Tableau1[[#This Row],[Adrénaline]], "&lt;/span&gt;&lt;/p&gt;"),"")</f>
        <v/>
      </c>
      <c r="AC9" s="6" t="s">
        <v>50</v>
      </c>
      <c r="AD9" s="6" t="str">
        <f>CONCATENATE("&lt;div class=""effets""&gt;",Tableau1[[#This Row],[Effets]],"&lt;/div&gt;")</f>
        <v>&lt;div class="effets"&gt;Les actions de combat de la voie de la précision lancent un dé de localisation supplémentaire.&lt;/div&gt;</v>
      </c>
      <c r="AE9" s="6" t="s">
        <v>64</v>
      </c>
      <c r="AF9" s="6" t="str">
        <f>CONCATENATE(Tableau1[[#This Row],[HTML_prefix]],Tableau1[[#This Row],[HTML_nom]],Tableau1[[#This Row],[HTML_specs_prefix]],Tableau1[[#This Row],[HTML_passif]],Tableau1[[#This Row],[HTML_profil]],Tableau1[[#This Row],[HTML_innée]],Tableau1[[#This Row],[HTML_apprentissage]],Tableau1[[#This Row],[HTML_specs_col]],Tableau1[[#This Row],[HTML_Execution]],Tableau1[[#This Row],[HTML_Souffle]],Tableau1[[#This Row],[HTML_Concentration]],Tableau1[[#This Row],[HTML_Adrénaline]],Tableau1[[#This Row],[HTML_specs_suffix]],Tableau1[[#This Row],[HTML_effets]],Tableau1[[#This Row],[HTML_suffix]])</f>
        <v>&lt;div class="comp"&gt;&lt;h4 class="nom"&gt;Encore plus précis !&lt;/h4&gt;&lt;table class="spec"&gt;&lt;tr&gt;&lt;td class="left"&gt;&lt;span class="passive"&gt;Action passive&lt;/span&gt;&lt;span class="apprentissage"&gt;Apprentissage : &lt;span&gt;Adresse 10&lt;/span&gt;&lt;/span&gt;&lt;/td&gt;&lt;td class="right"&gt;&lt;p&gt;Exécution : &lt;span&gt;-&lt;/span&gt;&lt;/p&gt;&lt;p&gt;Souffle : &lt;span class="jauge"&gt;-&lt;/span&gt;&lt;/p&gt;&lt;p&gt;Concentration : &lt;span class="jauge"&gt;-&lt;/span&gt;&lt;/p&gt;&lt;/td&gt;&lt;/tr&gt;&lt;/table class=""spec""&gt;&lt;div class="effets"&gt;Les actions de combat de la voie de la précision lancent un dé de localisation supplémentaire.&lt;/div&gt;&lt;/div&gt;</v>
      </c>
      <c r="AG9" s="8" t="str">
        <f>IF(ISBLANK(Tableau1[[#This Row],[Nom]]),"",IF(B9&lt;&gt;B8,CONCATENATE("&lt;/div&gt;&lt;div class=""voie ",Tableau1[[#This Row],[Caractéristique]],"""&gt;&lt;h3&gt;",Tableau1[[#This Row],[Voie]],"&lt;/h3&gt;",Tableau1[[#This Row],[HTML_ligne]]),Tableau1[[#This Row],[HTML_ligne]]))</f>
        <v>&lt;div class="comp"&gt;&lt;h4 class="nom"&gt;Encore plus précis !&lt;/h4&gt;&lt;table class="spec"&gt;&lt;tr&gt;&lt;td class="left"&gt;&lt;span class="passive"&gt;Action passive&lt;/span&gt;&lt;span class="apprentissage"&gt;Apprentissage : &lt;span&gt;Adresse 10&lt;/span&gt;&lt;/span&gt;&lt;/td&gt;&lt;td class="right"&gt;&lt;p&gt;Exécution : &lt;span&gt;-&lt;/span&gt;&lt;/p&gt;&lt;p&gt;Souffle : &lt;span class="jauge"&gt;-&lt;/span&gt;&lt;/p&gt;&lt;p&gt;Concentration : &lt;span class="jauge"&gt;-&lt;/span&gt;&lt;/p&gt;&lt;/td&gt;&lt;/tr&gt;&lt;/table class=""spec""&gt;&lt;div class="effets"&gt;Les actions de combat de la voie de la précision lancent un dé de localisation supplémentaire.&lt;/div&gt;&lt;/div&gt;</v>
      </c>
    </row>
    <row r="10" spans="1:33" x14ac:dyDescent="0.25">
      <c r="A10" s="12">
        <v>2</v>
      </c>
      <c r="B10" s="3" t="s">
        <v>19</v>
      </c>
      <c r="C10" s="10">
        <v>2</v>
      </c>
      <c r="D10" s="3" t="s">
        <v>69</v>
      </c>
      <c r="E10" s="4">
        <f>IFERROR(VLOOKUP(Tableau1[[#This Row],[Niveau]],Tableau2[],2,FALSE),"")</f>
        <v>15</v>
      </c>
      <c r="F10" s="3" t="s">
        <v>58</v>
      </c>
      <c r="K10" s="10" t="b">
        <v>1</v>
      </c>
      <c r="N10" s="4" t="b">
        <f>IF(Tableau1[[#This Row],[Niveau]]=0,TRUE,FALSE)</f>
        <v>0</v>
      </c>
      <c r="O10" s="5" t="s">
        <v>75</v>
      </c>
      <c r="P10" s="3"/>
      <c r="Q10" s="6" t="s">
        <v>65</v>
      </c>
      <c r="R10" s="6" t="str">
        <f>CONCATENATE("&lt;h4 class=""nom""&gt;",Tableau1[[#This Row],[Nom]],"&lt;/h4&gt;")</f>
        <v>&lt;h4 class="nom"&gt;Point faible&lt;/h4&gt;</v>
      </c>
      <c r="S10" s="6" t="s">
        <v>66</v>
      </c>
      <c r="T10" s="6" t="str">
        <f>IF(Tableau1[[#This Row],[Passif ?]],"&lt;span class=""passive""&gt;Action passive&lt;/span&gt;","")</f>
        <v>&lt;span class="passive"&gt;Action passive&lt;/span&gt;</v>
      </c>
      <c r="U10" s="6" t="str">
        <f>IF(ISBLANK(Tableau1[[#This Row],[Profil]]),"",CONCATENATE("&lt;span class=""profil""&gt;Profil ",Tableau1[[#This Row],[Profil]],"&lt;/span&gt;"))</f>
        <v/>
      </c>
      <c r="V10" s="6" t="str">
        <f>IF(Tableau1[[#This Row],[Innée ?]],"&lt;span class=""innee""&gt;Action innée&lt;/span&gt;","")</f>
        <v/>
      </c>
      <c r="W10" s="6" t="str">
        <f>IF(Tableau1[[#This Row],[Niveau]]&gt;0,CONCATENATE("&lt;span class=""apprentissage""&gt;Apprentissage : &lt;span&gt;",Tableau1[[#This Row],[Caractéristique]], " ",Tableau1[[#This Row],[Apprentissage]],"&lt;/span&gt;&lt;/span&gt;"),"")</f>
        <v>&lt;span class="apprentissage"&gt;Apprentissage : &lt;span&gt;Adresse 15&lt;/span&gt;&lt;/span&gt;</v>
      </c>
      <c r="X10" s="6" t="s">
        <v>67</v>
      </c>
      <c r="Y10" s="6" t="str">
        <f>CONCATENATE("&lt;p&gt;Exécution : &lt;span&gt;", IF(Tableau1[[#This Row],[Exécution]]&gt;0,Tableau1[[#This Row],[Exécution]],"-"), "&lt;/span&gt;&lt;/p&gt;")</f>
        <v>&lt;p&gt;Exécution : &lt;span&gt;-&lt;/span&gt;&lt;/p&gt;</v>
      </c>
      <c r="Z10" s="6" t="str">
        <f>CONCATENATE("&lt;p&gt;Souffle : &lt;span class=""jauge""&gt;", IF(Tableau1[[#This Row],[Souffle]]&gt;0,Tableau1[[#This Row],[Souffle]],"-"), "&lt;/span&gt;&lt;/p&gt;")</f>
        <v>&lt;p&gt;Souffle : &lt;span class="jauge"&gt;-&lt;/span&gt;&lt;/p&gt;</v>
      </c>
      <c r="AA10" s="6" t="str">
        <f>CONCATENATE("&lt;p&gt;Concentration : &lt;span class=""jauge""&gt;",IF(Tableau1[[#This Row],[Concentration]]&gt;0,Tableau1[[#This Row],[Concentration]],"-"), "&lt;/span&gt;&lt;/p&gt;")</f>
        <v>&lt;p&gt;Concentration : &lt;span class="jauge"&gt;-&lt;/span&gt;&lt;/p&gt;</v>
      </c>
      <c r="AB10" s="6" t="str">
        <f>IF(Tableau1[[#This Row],[Adrénaline]]&gt;0,CONCATENATE("&lt;p&gt;Adrénaline : &lt;span class=""jauge""&gt;", Tableau1[[#This Row],[Adrénaline]], "&lt;/span&gt;&lt;/p&gt;"),"")</f>
        <v/>
      </c>
      <c r="AC10" s="6" t="s">
        <v>50</v>
      </c>
      <c r="AD10" s="6" t="str">
        <f>CONCATENATE("&lt;div class=""effets""&gt;",Tableau1[[#This Row],[Effets]],"&lt;/div&gt;")</f>
        <v>&lt;div class="effets"&gt;Les attaques de la voie de la précision ignorent l'armure de la cible si les jets de localisation forment une paire&lt;/div&gt;</v>
      </c>
      <c r="AE10" s="6" t="s">
        <v>64</v>
      </c>
      <c r="AF10" s="6" t="str">
        <f>CONCATENATE(Tableau1[[#This Row],[HTML_prefix]],Tableau1[[#This Row],[HTML_nom]],Tableau1[[#This Row],[HTML_specs_prefix]],Tableau1[[#This Row],[HTML_passif]],Tableau1[[#This Row],[HTML_profil]],Tableau1[[#This Row],[HTML_innée]],Tableau1[[#This Row],[HTML_apprentissage]],Tableau1[[#This Row],[HTML_specs_col]],Tableau1[[#This Row],[HTML_Execution]],Tableau1[[#This Row],[HTML_Souffle]],Tableau1[[#This Row],[HTML_Concentration]],Tableau1[[#This Row],[HTML_Adrénaline]],Tableau1[[#This Row],[HTML_specs_suffix]],Tableau1[[#This Row],[HTML_effets]],Tableau1[[#This Row],[HTML_suffix]])</f>
        <v>&lt;div class="comp"&gt;&lt;h4 class="nom"&gt;Point faible&lt;/h4&gt;&lt;table class="spec"&gt;&lt;tr&gt;&lt;td class="left"&gt;&lt;span class="passive"&gt;Action passive&lt;/span&gt;&lt;span class="apprentissage"&gt;Apprentissage : &lt;span&gt;Adresse 15&lt;/span&gt;&lt;/span&gt;&lt;/td&gt;&lt;td class="right"&gt;&lt;p&gt;Exécution : &lt;span&gt;-&lt;/span&gt;&lt;/p&gt;&lt;p&gt;Souffle : &lt;span class="jauge"&gt;-&lt;/span&gt;&lt;/p&gt;&lt;p&gt;Concentration : &lt;span class="jauge"&gt;-&lt;/span&gt;&lt;/p&gt;&lt;/td&gt;&lt;/tr&gt;&lt;/table class=""spec""&gt;&lt;div class="effets"&gt;Les attaques de la voie de la précision ignorent l'armure de la cible si les jets de localisation forment une paire&lt;/div&gt;&lt;/div&gt;</v>
      </c>
      <c r="AG10" s="8" t="str">
        <f>IF(ISBLANK(Tableau1[[#This Row],[Nom]]),"",IF(B10&lt;&gt;B9,CONCATENATE("&lt;/div&gt;&lt;div class=""voie ",Tableau1[[#This Row],[Caractéristique]],"""&gt;&lt;h3&gt;",Tableau1[[#This Row],[Voie]],"&lt;/h3&gt;",Tableau1[[#This Row],[HTML_ligne]]),Tableau1[[#This Row],[HTML_ligne]]))</f>
        <v>&lt;div class="comp"&gt;&lt;h4 class="nom"&gt;Point faible&lt;/h4&gt;&lt;table class="spec"&gt;&lt;tr&gt;&lt;td class="left"&gt;&lt;span class="passive"&gt;Action passive&lt;/span&gt;&lt;span class="apprentissage"&gt;Apprentissage : &lt;span&gt;Adresse 15&lt;/span&gt;&lt;/span&gt;&lt;/td&gt;&lt;td class="right"&gt;&lt;p&gt;Exécution : &lt;span&gt;-&lt;/span&gt;&lt;/p&gt;&lt;p&gt;Souffle : &lt;span class="jauge"&gt;-&lt;/span&gt;&lt;/p&gt;&lt;p&gt;Concentration : &lt;span class="jauge"&gt;-&lt;/span&gt;&lt;/p&gt;&lt;/td&gt;&lt;/tr&gt;&lt;/table class=""spec""&gt;&lt;div class="effets"&gt;Les attaques de la voie de la précision ignorent l'armure de la cible si les jets de localisation forment une paire&lt;/div&gt;&lt;/div&gt;</v>
      </c>
    </row>
    <row r="11" spans="1:33" x14ac:dyDescent="0.25">
      <c r="A11" s="12">
        <v>2</v>
      </c>
      <c r="B11" s="3" t="s">
        <v>19</v>
      </c>
      <c r="C11" s="10">
        <v>3</v>
      </c>
      <c r="D11" s="3" t="s">
        <v>42</v>
      </c>
      <c r="E11" s="4">
        <f>IFERROR(VLOOKUP(Tableau1[[#This Row],[Niveau]],Tableau2[],2,FALSE),"")</f>
        <v>20</v>
      </c>
      <c r="F11" s="3" t="s">
        <v>58</v>
      </c>
      <c r="G11" s="10">
        <v>5</v>
      </c>
      <c r="H11" s="10">
        <v>1</v>
      </c>
      <c r="I11" s="10">
        <v>1</v>
      </c>
      <c r="L11" s="10" t="b">
        <v>1</v>
      </c>
      <c r="M11" s="25" t="s">
        <v>37</v>
      </c>
      <c r="N11" s="4" t="b">
        <f>IF(Tableau1[[#This Row],[Niveau]]=0,TRUE,FALSE)</f>
        <v>0</v>
      </c>
      <c r="O11" s="5" t="s">
        <v>77</v>
      </c>
      <c r="P11" s="3"/>
      <c r="Q11" s="6" t="s">
        <v>65</v>
      </c>
      <c r="R11" s="6" t="str">
        <f>CONCATENATE("&lt;h4 class=""nom""&gt;",Tableau1[[#This Row],[Nom]],"&lt;/h4&gt;")</f>
        <v>&lt;h4 class="nom"&gt;Coup ciblé&lt;/h4&gt;</v>
      </c>
      <c r="S11" s="6" t="s">
        <v>66</v>
      </c>
      <c r="T11" s="6" t="str">
        <f>IF(Tableau1[[#This Row],[Passif ?]],"&lt;span class=""passive""&gt;Action passive&lt;/span&gt;","")</f>
        <v/>
      </c>
      <c r="U11" s="6" t="str">
        <f>IF(ISBLANK(Tableau1[[#This Row],[Profil]]),"",CONCATENATE("&lt;span class=""profil""&gt;Profil ",Tableau1[[#This Row],[Profil]],"&lt;/span&gt;"))</f>
        <v>&lt;span class="profil"&gt;Profil Précis&lt;/span&gt;</v>
      </c>
      <c r="V11" s="6" t="str">
        <f>IF(Tableau1[[#This Row],[Innée ?]],"&lt;span class=""innee""&gt;Action innée&lt;/span&gt;","")</f>
        <v/>
      </c>
      <c r="W11" s="6" t="str">
        <f>IF(Tableau1[[#This Row],[Niveau]]&gt;0,CONCATENATE("&lt;span class=""apprentissage""&gt;Apprentissage : &lt;span&gt;",Tableau1[[#This Row],[Caractéristique]], " ",Tableau1[[#This Row],[Apprentissage]],"&lt;/span&gt;&lt;/span&gt;"),"")</f>
        <v>&lt;span class="apprentissage"&gt;Apprentissage : &lt;span&gt;Adresse 20&lt;/span&gt;&lt;/span&gt;</v>
      </c>
      <c r="X11" s="6" t="s">
        <v>67</v>
      </c>
      <c r="Y11" s="6" t="str">
        <f>CONCATENATE("&lt;p&gt;Exécution : &lt;span&gt;", IF(Tableau1[[#This Row],[Exécution]]&gt;0,Tableau1[[#This Row],[Exécution]],"-"), "&lt;/span&gt;&lt;/p&gt;")</f>
        <v>&lt;p&gt;Exécution : &lt;span&gt;5&lt;/span&gt;&lt;/p&gt;</v>
      </c>
      <c r="Z11" s="6" t="str">
        <f>CONCATENATE("&lt;p&gt;Souffle : &lt;span class=""jauge""&gt;", IF(Tableau1[[#This Row],[Souffle]]&gt;0,Tableau1[[#This Row],[Souffle]],"-"), "&lt;/span&gt;&lt;/p&gt;")</f>
        <v>&lt;p&gt;Souffle : &lt;span class="jauge"&gt;1&lt;/span&gt;&lt;/p&gt;</v>
      </c>
      <c r="AA11" s="6" t="str">
        <f>CONCATENATE("&lt;p&gt;Concentration : &lt;span class=""jauge""&gt;",IF(Tableau1[[#This Row],[Concentration]]&gt;0,Tableau1[[#This Row],[Concentration]],"-"), "&lt;/span&gt;&lt;/p&gt;")</f>
        <v>&lt;p&gt;Concentration : &lt;span class="jauge"&gt;1&lt;/span&gt;&lt;/p&gt;</v>
      </c>
      <c r="AB11" s="6" t="str">
        <f>IF(Tableau1[[#This Row],[Adrénaline]]&gt;0,CONCATENATE("&lt;p&gt;Adrénaline : &lt;span class=""jauge""&gt;", Tableau1[[#This Row],[Adrénaline]], "&lt;/span&gt;&lt;/p&gt;"),"")</f>
        <v/>
      </c>
      <c r="AC11" s="6" t="s">
        <v>50</v>
      </c>
      <c r="AD11" s="6" t="str">
        <f>CONCATENATE("&lt;div class=""effets""&gt;",Tableau1[[#This Row],[Effets]],"&lt;/div&gt;")</f>
        <v>&lt;div class="effets"&gt;Avec ce coup le personnage ne jette pas de dé de localisation mais choisit la zone atteinte. En contrepartie, le jet d'attaque subit un malus de -5.&lt;/div&gt;</v>
      </c>
      <c r="AE11" s="6" t="s">
        <v>64</v>
      </c>
      <c r="AF11" s="6" t="str">
        <f>CONCATENATE(Tableau1[[#This Row],[HTML_prefix]],Tableau1[[#This Row],[HTML_nom]],Tableau1[[#This Row],[HTML_specs_prefix]],Tableau1[[#This Row],[HTML_passif]],Tableau1[[#This Row],[HTML_profil]],Tableau1[[#This Row],[HTML_innée]],Tableau1[[#This Row],[HTML_apprentissage]],Tableau1[[#This Row],[HTML_specs_col]],Tableau1[[#This Row],[HTML_Execution]],Tableau1[[#This Row],[HTML_Souffle]],Tableau1[[#This Row],[HTML_Concentration]],Tableau1[[#This Row],[HTML_Adrénaline]],Tableau1[[#This Row],[HTML_specs_suffix]],Tableau1[[#This Row],[HTML_effets]],Tableau1[[#This Row],[HTML_suffix]])</f>
        <v>&lt;div class="comp"&gt;&lt;h4 class="nom"&gt;Coup ciblé&lt;/h4&gt;&lt;table class="spec"&gt;&lt;tr&gt;&lt;td class="left"&gt;&lt;span class="profil"&gt;Profil Précis&lt;/span&gt;&lt;span class="apprentissage"&gt;Apprentissage : &lt;span&gt;Adresse 20&lt;/span&gt;&lt;/span&gt;&lt;/td&gt;&lt;td class="right"&gt;&lt;p&gt;Exécution : &lt;span&gt;5&lt;/span&gt;&lt;/p&gt;&lt;p&gt;Souffle : &lt;span class="jauge"&gt;1&lt;/span&gt;&lt;/p&gt;&lt;p&gt;Concentration : &lt;span class="jauge"&gt;1&lt;/span&gt;&lt;/p&gt;&lt;/td&gt;&lt;/tr&gt;&lt;/table class=""spec""&gt;&lt;div class="effets"&gt;Avec ce coup le personnage ne jette pas de dé de localisation mais choisit la zone atteinte. En contrepartie, le jet d'attaque subit un malus de -5.&lt;/div&gt;&lt;/div&gt;</v>
      </c>
      <c r="AG11" s="8" t="str">
        <f>IF(ISBLANK(Tableau1[[#This Row],[Nom]]),"",IF(B11&lt;&gt;B10,CONCATENATE("&lt;/div&gt;&lt;div class=""voie ",Tableau1[[#This Row],[Caractéristique]],"""&gt;&lt;h3&gt;",Tableau1[[#This Row],[Voie]],"&lt;/h3&gt;",Tableau1[[#This Row],[HTML_ligne]]),Tableau1[[#This Row],[HTML_ligne]]))</f>
        <v>&lt;div class="comp"&gt;&lt;h4 class="nom"&gt;Coup ciblé&lt;/h4&gt;&lt;table class="spec"&gt;&lt;tr&gt;&lt;td class="left"&gt;&lt;span class="profil"&gt;Profil Précis&lt;/span&gt;&lt;span class="apprentissage"&gt;Apprentissage : &lt;span&gt;Adresse 20&lt;/span&gt;&lt;/span&gt;&lt;/td&gt;&lt;td class="right"&gt;&lt;p&gt;Exécution : &lt;span&gt;5&lt;/span&gt;&lt;/p&gt;&lt;p&gt;Souffle : &lt;span class="jauge"&gt;1&lt;/span&gt;&lt;/p&gt;&lt;p&gt;Concentration : &lt;span class="jauge"&gt;1&lt;/span&gt;&lt;/p&gt;&lt;/td&gt;&lt;/tr&gt;&lt;/table class=""spec""&gt;&lt;div class="effets"&gt;Avec ce coup le personnage ne jette pas de dé de localisation mais choisit la zone atteinte. En contrepartie, le jet d'attaque subit un malus de -5.&lt;/div&gt;&lt;/div&gt;</v>
      </c>
    </row>
    <row r="12" spans="1:33" ht="30" x14ac:dyDescent="0.25">
      <c r="A12" s="12">
        <v>2</v>
      </c>
      <c r="B12" s="3" t="s">
        <v>19</v>
      </c>
      <c r="C12" s="10">
        <v>4</v>
      </c>
      <c r="D12" s="3" t="s">
        <v>78</v>
      </c>
      <c r="E12" s="4">
        <f>IFERROR(VLOOKUP(Tableau1[[#This Row],[Niveau]],Tableau2[],2,FALSE),"")</f>
        <v>25</v>
      </c>
      <c r="F12" s="3" t="s">
        <v>58</v>
      </c>
      <c r="G12" s="10">
        <v>4</v>
      </c>
      <c r="H12" s="10">
        <v>1</v>
      </c>
      <c r="I12" s="10">
        <v>1</v>
      </c>
      <c r="L12" s="10" t="b">
        <v>1</v>
      </c>
      <c r="M12" s="25" t="s">
        <v>37</v>
      </c>
      <c r="N12" s="4" t="b">
        <f>IF(Tableau1[[#This Row],[Niveau]]=0,TRUE,FALSE)</f>
        <v>0</v>
      </c>
      <c r="O12" s="5" t="s">
        <v>79</v>
      </c>
      <c r="P12" s="3"/>
      <c r="Q12" s="6" t="s">
        <v>65</v>
      </c>
      <c r="R12" s="6" t="str">
        <f>CONCATENATE("&lt;h4 class=""nom""&gt;",Tableau1[[#This Row],[Nom]],"&lt;/h4&gt;")</f>
        <v>&lt;h4 class="nom"&gt;Répétition&lt;/h4&gt;</v>
      </c>
      <c r="S12" s="6" t="s">
        <v>66</v>
      </c>
      <c r="T12" s="6" t="str">
        <f>IF(Tableau1[[#This Row],[Passif ?]],"&lt;span class=""passive""&gt;Action passive&lt;/span&gt;","")</f>
        <v/>
      </c>
      <c r="U12" s="6" t="str">
        <f>IF(ISBLANK(Tableau1[[#This Row],[Profil]]),"",CONCATENATE("&lt;span class=""profil""&gt;Profil ",Tableau1[[#This Row],[Profil]],"&lt;/span&gt;"))</f>
        <v>&lt;span class="profil"&gt;Profil Précis&lt;/span&gt;</v>
      </c>
      <c r="V12" s="6" t="str">
        <f>IF(Tableau1[[#This Row],[Innée ?]],"&lt;span class=""innee""&gt;Action innée&lt;/span&gt;","")</f>
        <v/>
      </c>
      <c r="W12" s="6" t="str">
        <f>IF(Tableau1[[#This Row],[Niveau]]&gt;0,CONCATENATE("&lt;span class=""apprentissage""&gt;Apprentissage : &lt;span&gt;",Tableau1[[#This Row],[Caractéristique]], " ",Tableau1[[#This Row],[Apprentissage]],"&lt;/span&gt;&lt;/span&gt;"),"")</f>
        <v>&lt;span class="apprentissage"&gt;Apprentissage : &lt;span&gt;Adresse 25&lt;/span&gt;&lt;/span&gt;</v>
      </c>
      <c r="X12" s="6" t="s">
        <v>67</v>
      </c>
      <c r="Y12" s="6" t="str">
        <f>CONCATENATE("&lt;p&gt;Exécution : &lt;span&gt;", IF(Tableau1[[#This Row],[Exécution]]&gt;0,Tableau1[[#This Row],[Exécution]],"-"), "&lt;/span&gt;&lt;/p&gt;")</f>
        <v>&lt;p&gt;Exécution : &lt;span&gt;4&lt;/span&gt;&lt;/p&gt;</v>
      </c>
      <c r="Z12" s="6" t="str">
        <f>CONCATENATE("&lt;p&gt;Souffle : &lt;span class=""jauge""&gt;", IF(Tableau1[[#This Row],[Souffle]]&gt;0,Tableau1[[#This Row],[Souffle]],"-"), "&lt;/span&gt;&lt;/p&gt;")</f>
        <v>&lt;p&gt;Souffle : &lt;span class="jauge"&gt;1&lt;/span&gt;&lt;/p&gt;</v>
      </c>
      <c r="AA12" s="6" t="str">
        <f>CONCATENATE("&lt;p&gt;Concentration : &lt;span class=""jauge""&gt;",IF(Tableau1[[#This Row],[Concentration]]&gt;0,Tableau1[[#This Row],[Concentration]],"-"), "&lt;/span&gt;&lt;/p&gt;")</f>
        <v>&lt;p&gt;Concentration : &lt;span class="jauge"&gt;1&lt;/span&gt;&lt;/p&gt;</v>
      </c>
      <c r="AB12" s="6" t="str">
        <f>IF(Tableau1[[#This Row],[Adrénaline]]&gt;0,CONCATENATE("&lt;p&gt;Adrénaline : &lt;span class=""jauge""&gt;", Tableau1[[#This Row],[Adrénaline]], "&lt;/span&gt;&lt;/p&gt;"),"")</f>
        <v/>
      </c>
      <c r="AC12" s="6" t="s">
        <v>50</v>
      </c>
      <c r="AD12" s="6" t="str">
        <f>CONCATENATE("&lt;div class=""effets""&gt;",Tableau1[[#This Row],[Effets]],"&lt;/div&gt;")</f>
        <v>&lt;div class="effets"&gt;Sur cette attaque, si le jet de localisation ne convient pas au personnage, il peut choisir à la place une autre zone qu'il a précédemment touché sur cette cible.&lt;/div&gt;</v>
      </c>
      <c r="AE12" s="6" t="s">
        <v>64</v>
      </c>
      <c r="AF12" s="6" t="str">
        <f>CONCATENATE(Tableau1[[#This Row],[HTML_prefix]],Tableau1[[#This Row],[HTML_nom]],Tableau1[[#This Row],[HTML_specs_prefix]],Tableau1[[#This Row],[HTML_passif]],Tableau1[[#This Row],[HTML_profil]],Tableau1[[#This Row],[HTML_innée]],Tableau1[[#This Row],[HTML_apprentissage]],Tableau1[[#This Row],[HTML_specs_col]],Tableau1[[#This Row],[HTML_Execution]],Tableau1[[#This Row],[HTML_Souffle]],Tableau1[[#This Row],[HTML_Concentration]],Tableau1[[#This Row],[HTML_Adrénaline]],Tableau1[[#This Row],[HTML_specs_suffix]],Tableau1[[#This Row],[HTML_effets]],Tableau1[[#This Row],[HTML_suffix]])</f>
        <v>&lt;div class="comp"&gt;&lt;h4 class="nom"&gt;Répétition&lt;/h4&gt;&lt;table class="spec"&gt;&lt;tr&gt;&lt;td class="left"&gt;&lt;span class="profil"&gt;Profil Précis&lt;/span&gt;&lt;span class="apprentissage"&gt;Apprentissage : &lt;span&gt;Adresse 25&lt;/span&gt;&lt;/span&gt;&lt;/td&gt;&lt;td class="right"&gt;&lt;p&gt;Exécution : &lt;span&gt;4&lt;/span&gt;&lt;/p&gt;&lt;p&gt;Souffle : &lt;span class="jauge"&gt;1&lt;/span&gt;&lt;/p&gt;&lt;p&gt;Concentration : &lt;span class="jauge"&gt;1&lt;/span&gt;&lt;/p&gt;&lt;/td&gt;&lt;/tr&gt;&lt;/table class=""spec""&gt;&lt;div class="effets"&gt;Sur cette attaque, si le jet de localisation ne convient pas au personnage, il peut choisir à la place une autre zone qu'il a précédemment touché sur cette cible.&lt;/div&gt;&lt;/div&gt;</v>
      </c>
      <c r="AG12" s="8" t="str">
        <f>IF(ISBLANK(Tableau1[[#This Row],[Nom]]),"",IF(B12&lt;&gt;B11,CONCATENATE("&lt;/div&gt;&lt;div class=""voie ",Tableau1[[#This Row],[Caractéristique]],"""&gt;&lt;h3&gt;",Tableau1[[#This Row],[Voie]],"&lt;/h3&gt;",Tableau1[[#This Row],[HTML_ligne]]),Tableau1[[#This Row],[HTML_ligne]]))</f>
        <v>&lt;div class="comp"&gt;&lt;h4 class="nom"&gt;Répétition&lt;/h4&gt;&lt;table class="spec"&gt;&lt;tr&gt;&lt;td class="left"&gt;&lt;span class="profil"&gt;Profil Précis&lt;/span&gt;&lt;span class="apprentissage"&gt;Apprentissage : &lt;span&gt;Adresse 25&lt;/span&gt;&lt;/span&gt;&lt;/td&gt;&lt;td class="right"&gt;&lt;p&gt;Exécution : &lt;span&gt;4&lt;/span&gt;&lt;/p&gt;&lt;p&gt;Souffle : &lt;span class="jauge"&gt;1&lt;/span&gt;&lt;/p&gt;&lt;p&gt;Concentration : &lt;span class="jauge"&gt;1&lt;/span&gt;&lt;/p&gt;&lt;/td&gt;&lt;/tr&gt;&lt;/table class=""spec""&gt;&lt;div class="effets"&gt;Sur cette attaque, si le jet de localisation ne convient pas au personnage, il peut choisir à la place une autre zone qu'il a précédemment touché sur cette cible.&lt;/div&gt;&lt;/div&gt;</v>
      </c>
    </row>
    <row r="13" spans="1:33" x14ac:dyDescent="0.25">
      <c r="A13" s="12">
        <v>3</v>
      </c>
      <c r="B13" s="3" t="s">
        <v>20</v>
      </c>
      <c r="C13" s="10">
        <v>0</v>
      </c>
      <c r="D13" s="3" t="s">
        <v>27</v>
      </c>
      <c r="E13" s="4">
        <f>IFERROR(VLOOKUP(Tableau1[[#This Row],[Niveau]],Tableau2[],2,FALSE),"")</f>
        <v>0</v>
      </c>
      <c r="F13" s="3" t="s">
        <v>59</v>
      </c>
      <c r="G13" s="10">
        <v>6</v>
      </c>
      <c r="H13" s="10">
        <v>1</v>
      </c>
      <c r="L13" s="10" t="b">
        <v>1</v>
      </c>
      <c r="M13" s="25" t="s">
        <v>36</v>
      </c>
      <c r="N13" s="4" t="b">
        <f>IF(Tableau1[[#This Row],[Niveau]]=0,TRUE,FALSE)</f>
        <v>1</v>
      </c>
      <c r="O13" s="5" t="s">
        <v>80</v>
      </c>
      <c r="P13" s="3"/>
      <c r="Q13" s="6" t="s">
        <v>65</v>
      </c>
      <c r="R13" s="6" t="str">
        <f>CONCATENATE("&lt;h4 class=""nom""&gt;",Tableau1[[#This Row],[Nom]],"&lt;/h4&gt;")</f>
        <v>&lt;h4 class="nom"&gt;Coup puissant&lt;/h4&gt;</v>
      </c>
      <c r="S13" s="6" t="s">
        <v>66</v>
      </c>
      <c r="T13" s="6" t="str">
        <f>IF(Tableau1[[#This Row],[Passif ?]],"&lt;span class=""passive""&gt;Action passive&lt;/span&gt;","")</f>
        <v/>
      </c>
      <c r="U13" s="6" t="str">
        <f>IF(ISBLANK(Tableau1[[#This Row],[Profil]]),"",CONCATENATE("&lt;span class=""profil""&gt;Profil ",Tableau1[[#This Row],[Profil]],"&lt;/span&gt;"))</f>
        <v>&lt;span class="profil"&gt;Profil Puissant&lt;/span&gt;</v>
      </c>
      <c r="V13" s="6" t="str">
        <f>IF(Tableau1[[#This Row],[Innée ?]],"&lt;span class=""innee""&gt;Action innée&lt;/span&gt;","")</f>
        <v>&lt;span class="innee"&gt;Action innée&lt;/span&gt;</v>
      </c>
      <c r="W13" s="6" t="str">
        <f>IF(Tableau1[[#This Row],[Niveau]]&gt;0,CONCATENATE("&lt;span class=""apprentissage""&gt;Apprentissage : &lt;span&gt;",Tableau1[[#This Row],[Caractéristique]], " ",Tableau1[[#This Row],[Apprentissage]],"&lt;/span&gt;&lt;/span&gt;"),"")</f>
        <v/>
      </c>
      <c r="X13" s="6" t="s">
        <v>67</v>
      </c>
      <c r="Y13" s="6" t="str">
        <f>CONCATENATE("&lt;p&gt;Exécution : &lt;span&gt;", IF(Tableau1[[#This Row],[Exécution]]&gt;0,Tableau1[[#This Row],[Exécution]],"-"), "&lt;/span&gt;&lt;/p&gt;")</f>
        <v>&lt;p&gt;Exécution : &lt;span&gt;6&lt;/span&gt;&lt;/p&gt;</v>
      </c>
      <c r="Z13" s="6" t="str">
        <f>CONCATENATE("&lt;p&gt;Souffle : &lt;span class=""jauge""&gt;", IF(Tableau1[[#This Row],[Souffle]]&gt;0,Tableau1[[#This Row],[Souffle]],"-"), "&lt;/span&gt;&lt;/p&gt;")</f>
        <v>&lt;p&gt;Souffle : &lt;span class="jauge"&gt;1&lt;/span&gt;&lt;/p&gt;</v>
      </c>
      <c r="AA13" s="6" t="str">
        <f>CONCATENATE("&lt;p&gt;Concentration : &lt;span class=""jauge""&gt;",IF(Tableau1[[#This Row],[Concentration]]&gt;0,Tableau1[[#This Row],[Concentration]],"-"), "&lt;/span&gt;&lt;/p&gt;")</f>
        <v>&lt;p&gt;Concentration : &lt;span class="jauge"&gt;-&lt;/span&gt;&lt;/p&gt;</v>
      </c>
      <c r="AB13" s="6" t="str">
        <f>IF(Tableau1[[#This Row],[Adrénaline]]&gt;0,CONCATENATE("&lt;p&gt;Adrénaline : &lt;span class=""jauge""&gt;", Tableau1[[#This Row],[Adrénaline]], "&lt;/span&gt;&lt;/p&gt;"),"")</f>
        <v/>
      </c>
      <c r="AC13" s="6" t="s">
        <v>50</v>
      </c>
      <c r="AD13" s="6" t="str">
        <f>CONCATENATE("&lt;div class=""effets""&gt;",Tableau1[[#This Row],[Effets]],"&lt;/div&gt;")</f>
        <v>&lt;div class="effets"&gt;Un coup lent et imprécis mais avec un impact colossal. Le score d'attaque subit un malus de -4.&lt;/div&gt;</v>
      </c>
      <c r="AE13" s="6" t="s">
        <v>64</v>
      </c>
      <c r="AF13" s="6" t="str">
        <f>CONCATENATE(Tableau1[[#This Row],[HTML_prefix]],Tableau1[[#This Row],[HTML_nom]],Tableau1[[#This Row],[HTML_specs_prefix]],Tableau1[[#This Row],[HTML_passif]],Tableau1[[#This Row],[HTML_profil]],Tableau1[[#This Row],[HTML_innée]],Tableau1[[#This Row],[HTML_apprentissage]],Tableau1[[#This Row],[HTML_specs_col]],Tableau1[[#This Row],[HTML_Execution]],Tableau1[[#This Row],[HTML_Souffle]],Tableau1[[#This Row],[HTML_Concentration]],Tableau1[[#This Row],[HTML_Adrénaline]],Tableau1[[#This Row],[HTML_specs_suffix]],Tableau1[[#This Row],[HTML_effets]],Tableau1[[#This Row],[HTML_suffix]])</f>
        <v>&lt;div class="comp"&gt;&lt;h4 class="nom"&gt;Coup puissant&lt;/h4&gt;&lt;table class="spec"&gt;&lt;tr&gt;&lt;td class="left"&gt;&lt;span class="profil"&gt;Profil Puissant&lt;/span&gt;&lt;span class="innee"&gt;Action innée&lt;/span&gt;&lt;/td&gt;&lt;td class="right"&gt;&lt;p&gt;Exécution : &lt;span&gt;6&lt;/span&gt;&lt;/p&gt;&lt;p&gt;Souffle : &lt;span class="jauge"&gt;1&lt;/span&gt;&lt;/p&gt;&lt;p&gt;Concentration : &lt;span class="jauge"&gt;-&lt;/span&gt;&lt;/p&gt;&lt;/td&gt;&lt;/tr&gt;&lt;/table class=""spec""&gt;&lt;div class="effets"&gt;Un coup lent et imprécis mais avec un impact colossal. Le score d'attaque subit un malus de -4.&lt;/div&gt;&lt;/div&gt;</v>
      </c>
      <c r="AG13" s="8" t="str">
        <f>IF(ISBLANK(Tableau1[[#This Row],[Nom]]),"",IF(B13&lt;&gt;B12,CONCATENATE("&lt;/div&gt;&lt;div class=""voie ",Tableau1[[#This Row],[Caractéristique]],"""&gt;&lt;h3&gt;",Tableau1[[#This Row],[Voie]],"&lt;/h3&gt;",Tableau1[[#This Row],[HTML_ligne]]),Tableau1[[#This Row],[HTML_ligne]]))</f>
        <v>&lt;/div&gt;&lt;div class="voie Vigueur"&gt;&lt;h3&gt;Puissance&lt;/h3&gt;&lt;div class="comp"&gt;&lt;h4 class="nom"&gt;Coup puissant&lt;/h4&gt;&lt;table class="spec"&gt;&lt;tr&gt;&lt;td class="left"&gt;&lt;span class="profil"&gt;Profil Puissant&lt;/span&gt;&lt;span class="innee"&gt;Action innée&lt;/span&gt;&lt;/td&gt;&lt;td class="right"&gt;&lt;p&gt;Exécution : &lt;span&gt;6&lt;/span&gt;&lt;/p&gt;&lt;p&gt;Souffle : &lt;span class="jauge"&gt;1&lt;/span&gt;&lt;/p&gt;&lt;p&gt;Concentration : &lt;span class="jauge"&gt;-&lt;/span&gt;&lt;/p&gt;&lt;/td&gt;&lt;/tr&gt;&lt;/table class=""spec""&gt;&lt;div class="effets"&gt;Un coup lent et imprécis mais avec un impact colossal. Le score d'attaque subit un malus de -4.&lt;/div&gt;&lt;/div&gt;</v>
      </c>
    </row>
    <row r="14" spans="1:33" x14ac:dyDescent="0.25">
      <c r="A14" s="12">
        <v>3</v>
      </c>
      <c r="B14" s="3" t="s">
        <v>20</v>
      </c>
      <c r="C14" s="10">
        <v>1</v>
      </c>
      <c r="D14" s="3" t="s">
        <v>92</v>
      </c>
      <c r="E14" s="4">
        <f>IFERROR(VLOOKUP(Tableau1[[#This Row],[Niveau]],Tableau2[],2,FALSE),"")</f>
        <v>10</v>
      </c>
      <c r="F14" s="3" t="s">
        <v>59</v>
      </c>
      <c r="K14" s="10" t="b">
        <v>1</v>
      </c>
      <c r="N14" s="4" t="b">
        <f>IF(Tableau1[[#This Row],[Niveau]]=0,TRUE,FALSE)</f>
        <v>0</v>
      </c>
      <c r="O14" s="5" t="s">
        <v>31</v>
      </c>
      <c r="P14" s="3"/>
      <c r="Q14" s="6" t="s">
        <v>65</v>
      </c>
      <c r="R14" s="6" t="str">
        <f>CONCATENATE("&lt;h4 class=""nom""&gt;",Tableau1[[#This Row],[Nom]],"&lt;/h4&gt;")</f>
        <v>&lt;h4 class="nom"&gt;Endurant&lt;/h4&gt;</v>
      </c>
      <c r="S14" s="6" t="s">
        <v>66</v>
      </c>
      <c r="T14" s="6" t="str">
        <f>IF(Tableau1[[#This Row],[Passif ?]],"&lt;span class=""passive""&gt;Action passive&lt;/span&gt;","")</f>
        <v>&lt;span class="passive"&gt;Action passive&lt;/span&gt;</v>
      </c>
      <c r="U14" s="6" t="str">
        <f>IF(ISBLANK(Tableau1[[#This Row],[Profil]]),"",CONCATENATE("&lt;span class=""profil""&gt;Profil ",Tableau1[[#This Row],[Profil]],"&lt;/span&gt;"))</f>
        <v/>
      </c>
      <c r="V14" s="6" t="str">
        <f>IF(Tableau1[[#This Row],[Innée ?]],"&lt;span class=""innee""&gt;Action innée&lt;/span&gt;","")</f>
        <v/>
      </c>
      <c r="W14" s="6" t="str">
        <f>IF(Tableau1[[#This Row],[Niveau]]&gt;0,CONCATENATE("&lt;span class=""apprentissage""&gt;Apprentissage : &lt;span&gt;",Tableau1[[#This Row],[Caractéristique]], " ",Tableau1[[#This Row],[Apprentissage]],"&lt;/span&gt;&lt;/span&gt;"),"")</f>
        <v>&lt;span class="apprentissage"&gt;Apprentissage : &lt;span&gt;Vigueur 10&lt;/span&gt;&lt;/span&gt;</v>
      </c>
      <c r="X14" s="6" t="s">
        <v>67</v>
      </c>
      <c r="Y14" s="6" t="str">
        <f>CONCATENATE("&lt;p&gt;Exécution : &lt;span&gt;", IF(Tableau1[[#This Row],[Exécution]]&gt;0,Tableau1[[#This Row],[Exécution]],"-"), "&lt;/span&gt;&lt;/p&gt;")</f>
        <v>&lt;p&gt;Exécution : &lt;span&gt;-&lt;/span&gt;&lt;/p&gt;</v>
      </c>
      <c r="Z14" s="6" t="str">
        <f>CONCATENATE("&lt;p&gt;Souffle : &lt;span class=""jauge""&gt;", IF(Tableau1[[#This Row],[Souffle]]&gt;0,Tableau1[[#This Row],[Souffle]],"-"), "&lt;/span&gt;&lt;/p&gt;")</f>
        <v>&lt;p&gt;Souffle : &lt;span class="jauge"&gt;-&lt;/span&gt;&lt;/p&gt;</v>
      </c>
      <c r="AA14" s="6" t="str">
        <f>CONCATENATE("&lt;p&gt;Concentration : &lt;span class=""jauge""&gt;",IF(Tableau1[[#This Row],[Concentration]]&gt;0,Tableau1[[#This Row],[Concentration]],"-"), "&lt;/span&gt;&lt;/p&gt;")</f>
        <v>&lt;p&gt;Concentration : &lt;span class="jauge"&gt;-&lt;/span&gt;&lt;/p&gt;</v>
      </c>
      <c r="AB14" s="6" t="str">
        <f>IF(Tableau1[[#This Row],[Adrénaline]]&gt;0,CONCATENATE("&lt;p&gt;Adrénaline : &lt;span class=""jauge""&gt;", Tableau1[[#This Row],[Adrénaline]], "&lt;/span&gt;&lt;/p&gt;"),"")</f>
        <v/>
      </c>
      <c r="AC14" s="6" t="s">
        <v>50</v>
      </c>
      <c r="AD14" s="6" t="str">
        <f>CONCATENATE("&lt;div class=""effets""&gt;",Tableau1[[#This Row],[Effets]],"&lt;/div&gt;")</f>
        <v>&lt;div class="effets"&gt;Les actions de combat de la voie de la puissance nécessite 1 point de souffle de moins.&lt;/div&gt;</v>
      </c>
      <c r="AE14" s="6" t="s">
        <v>64</v>
      </c>
      <c r="AF14" s="6" t="str">
        <f>CONCATENATE(Tableau1[[#This Row],[HTML_prefix]],Tableau1[[#This Row],[HTML_nom]],Tableau1[[#This Row],[HTML_specs_prefix]],Tableau1[[#This Row],[HTML_passif]],Tableau1[[#This Row],[HTML_profil]],Tableau1[[#This Row],[HTML_innée]],Tableau1[[#This Row],[HTML_apprentissage]],Tableau1[[#This Row],[HTML_specs_col]],Tableau1[[#This Row],[HTML_Execution]],Tableau1[[#This Row],[HTML_Souffle]],Tableau1[[#This Row],[HTML_Concentration]],Tableau1[[#This Row],[HTML_Adrénaline]],Tableau1[[#This Row],[HTML_specs_suffix]],Tableau1[[#This Row],[HTML_effets]],Tableau1[[#This Row],[HTML_suffix]])</f>
        <v>&lt;div class="comp"&gt;&lt;h4 class="nom"&gt;Endurant&lt;/h4&gt;&lt;table class="spec"&gt;&lt;tr&gt;&lt;td class="left"&gt;&lt;span class="passive"&gt;Action passive&lt;/span&gt;&lt;span class="apprentissage"&gt;Apprentissage : &lt;span&gt;Vigueur 10&lt;/span&gt;&lt;/span&gt;&lt;/td&gt;&lt;td class="right"&gt;&lt;p&gt;Exécution : &lt;span&gt;-&lt;/span&gt;&lt;/p&gt;&lt;p&gt;Souffle : &lt;span class="jauge"&gt;-&lt;/span&gt;&lt;/p&gt;&lt;p&gt;Concentration : &lt;span class="jauge"&gt;-&lt;/span&gt;&lt;/p&gt;&lt;/td&gt;&lt;/tr&gt;&lt;/table class=""spec""&gt;&lt;div class="effets"&gt;Les actions de combat de la voie de la puissance nécessite 1 point de souffle de moins.&lt;/div&gt;&lt;/div&gt;</v>
      </c>
      <c r="AG14" s="8" t="str">
        <f>IF(ISBLANK(Tableau1[[#This Row],[Nom]]),"",IF(B14&lt;&gt;B13,CONCATENATE("&lt;/div&gt;&lt;div class=""voie ",Tableau1[[#This Row],[Caractéristique]],"""&gt;&lt;h3&gt;",Tableau1[[#This Row],[Voie]],"&lt;/h3&gt;",Tableau1[[#This Row],[HTML_ligne]]),Tableau1[[#This Row],[HTML_ligne]]))</f>
        <v>&lt;div class="comp"&gt;&lt;h4 class="nom"&gt;Endurant&lt;/h4&gt;&lt;table class="spec"&gt;&lt;tr&gt;&lt;td class="left"&gt;&lt;span class="passive"&gt;Action passive&lt;/span&gt;&lt;span class="apprentissage"&gt;Apprentissage : &lt;span&gt;Vigueur 10&lt;/span&gt;&lt;/span&gt;&lt;/td&gt;&lt;td class="right"&gt;&lt;p&gt;Exécution : &lt;span&gt;-&lt;/span&gt;&lt;/p&gt;&lt;p&gt;Souffle : &lt;span class="jauge"&gt;-&lt;/span&gt;&lt;/p&gt;&lt;p&gt;Concentration : &lt;span class="jauge"&gt;-&lt;/span&gt;&lt;/p&gt;&lt;/td&gt;&lt;/tr&gt;&lt;/table class=""spec""&gt;&lt;div class="effets"&gt;Les actions de combat de la voie de la puissance nécessite 1 point de souffle de moins.&lt;/div&gt;&lt;/div&gt;</v>
      </c>
    </row>
    <row r="15" spans="1:33" x14ac:dyDescent="0.25">
      <c r="A15" s="12">
        <v>3</v>
      </c>
      <c r="B15" s="3" t="s">
        <v>20</v>
      </c>
      <c r="C15" s="10">
        <v>2</v>
      </c>
      <c r="D15" s="3" t="s">
        <v>29</v>
      </c>
      <c r="E15" s="4">
        <f>IFERROR(VLOOKUP(Tableau1[[#This Row],[Niveau]],Tableau2[],2,FALSE),"")</f>
        <v>15</v>
      </c>
      <c r="F15" s="3" t="s">
        <v>59</v>
      </c>
      <c r="G15" s="10">
        <v>6</v>
      </c>
      <c r="H15" s="10">
        <v>2</v>
      </c>
      <c r="L15" s="10" t="b">
        <v>1</v>
      </c>
      <c r="M15" s="25" t="s">
        <v>36</v>
      </c>
      <c r="N15" s="4" t="b">
        <f>IF(Tableau1[[#This Row],[Niveau]]=0,TRUE,FALSE)</f>
        <v>0</v>
      </c>
      <c r="O15" s="5" t="s">
        <v>81</v>
      </c>
      <c r="P15" s="3"/>
      <c r="Q15" s="6" t="s">
        <v>65</v>
      </c>
      <c r="R15" s="6" t="str">
        <f>CONCATENATE("&lt;h4 class=""nom""&gt;",Tableau1[[#This Row],[Nom]],"&lt;/h4&gt;")</f>
        <v>&lt;h4 class="nom"&gt;Frappe lourde&lt;/h4&gt;</v>
      </c>
      <c r="S15" s="6" t="s">
        <v>66</v>
      </c>
      <c r="T15" s="6" t="str">
        <f>IF(Tableau1[[#This Row],[Passif ?]],"&lt;span class=""passive""&gt;Action passive&lt;/span&gt;","")</f>
        <v/>
      </c>
      <c r="U15" s="6" t="str">
        <f>IF(ISBLANK(Tableau1[[#This Row],[Profil]]),"",CONCATENATE("&lt;span class=""profil""&gt;Profil ",Tableau1[[#This Row],[Profil]],"&lt;/span&gt;"))</f>
        <v>&lt;span class="profil"&gt;Profil Puissant&lt;/span&gt;</v>
      </c>
      <c r="V15" s="6" t="str">
        <f>IF(Tableau1[[#This Row],[Innée ?]],"&lt;span class=""innee""&gt;Action innée&lt;/span&gt;","")</f>
        <v/>
      </c>
      <c r="W15" s="6" t="str">
        <f>IF(Tableau1[[#This Row],[Niveau]]&gt;0,CONCATENATE("&lt;span class=""apprentissage""&gt;Apprentissage : &lt;span&gt;",Tableau1[[#This Row],[Caractéristique]], " ",Tableau1[[#This Row],[Apprentissage]],"&lt;/span&gt;&lt;/span&gt;"),"")</f>
        <v>&lt;span class="apprentissage"&gt;Apprentissage : &lt;span&gt;Vigueur 15&lt;/span&gt;&lt;/span&gt;</v>
      </c>
      <c r="X15" s="6" t="s">
        <v>67</v>
      </c>
      <c r="Y15" s="6" t="str">
        <f>CONCATENATE("&lt;p&gt;Exécution : &lt;span&gt;", IF(Tableau1[[#This Row],[Exécution]]&gt;0,Tableau1[[#This Row],[Exécution]],"-"), "&lt;/span&gt;&lt;/p&gt;")</f>
        <v>&lt;p&gt;Exécution : &lt;span&gt;6&lt;/span&gt;&lt;/p&gt;</v>
      </c>
      <c r="Z15" s="6" t="str">
        <f>CONCATENATE("&lt;p&gt;Souffle : &lt;span class=""jauge""&gt;", IF(Tableau1[[#This Row],[Souffle]]&gt;0,Tableau1[[#This Row],[Souffle]],"-"), "&lt;/span&gt;&lt;/p&gt;")</f>
        <v>&lt;p&gt;Souffle : &lt;span class="jauge"&gt;2&lt;/span&gt;&lt;/p&gt;</v>
      </c>
      <c r="AA15" s="6" t="str">
        <f>CONCATENATE("&lt;p&gt;Concentration : &lt;span class=""jauge""&gt;",IF(Tableau1[[#This Row],[Concentration]]&gt;0,Tableau1[[#This Row],[Concentration]],"-"), "&lt;/span&gt;&lt;/p&gt;")</f>
        <v>&lt;p&gt;Concentration : &lt;span class="jauge"&gt;-&lt;/span&gt;&lt;/p&gt;</v>
      </c>
      <c r="AB15" s="6" t="str">
        <f>IF(Tableau1[[#This Row],[Adrénaline]]&gt;0,CONCATENATE("&lt;p&gt;Adrénaline : &lt;span class=""jauge""&gt;", Tableau1[[#This Row],[Adrénaline]], "&lt;/span&gt;&lt;/p&gt;"),"")</f>
        <v/>
      </c>
      <c r="AC15" s="6" t="s">
        <v>50</v>
      </c>
      <c r="AD15" s="6" t="str">
        <f>CONCATENATE("&lt;div class=""effets""&gt;",Tableau1[[#This Row],[Effets]],"&lt;/div&gt;")</f>
        <v>&lt;div class="effets"&gt;Une attaque puissante qui inflige un malus de  -5 à toute parade qui lui est opposée.&lt;/div&gt;</v>
      </c>
      <c r="AE15" s="6" t="s">
        <v>64</v>
      </c>
      <c r="AF15" s="6" t="str">
        <f>CONCATENATE(Tableau1[[#This Row],[HTML_prefix]],Tableau1[[#This Row],[HTML_nom]],Tableau1[[#This Row],[HTML_specs_prefix]],Tableau1[[#This Row],[HTML_passif]],Tableau1[[#This Row],[HTML_profil]],Tableau1[[#This Row],[HTML_innée]],Tableau1[[#This Row],[HTML_apprentissage]],Tableau1[[#This Row],[HTML_specs_col]],Tableau1[[#This Row],[HTML_Execution]],Tableau1[[#This Row],[HTML_Souffle]],Tableau1[[#This Row],[HTML_Concentration]],Tableau1[[#This Row],[HTML_Adrénaline]],Tableau1[[#This Row],[HTML_specs_suffix]],Tableau1[[#This Row],[HTML_effets]],Tableau1[[#This Row],[HTML_suffix]])</f>
        <v>&lt;div class="comp"&gt;&lt;h4 class="nom"&gt;Frappe lourde&lt;/h4&gt;&lt;table class="spec"&gt;&lt;tr&gt;&lt;td class="left"&gt;&lt;span class="profil"&gt;Profil Puissant&lt;/span&gt;&lt;span class="apprentissage"&gt;Apprentissage : &lt;span&gt;Vigueur 15&lt;/span&gt;&lt;/span&gt;&lt;/td&gt;&lt;td class="right"&gt;&lt;p&gt;Exécution : &lt;span&gt;6&lt;/span&gt;&lt;/p&gt;&lt;p&gt;Souffle : &lt;span class="jauge"&gt;2&lt;/span&gt;&lt;/p&gt;&lt;p&gt;Concentration : &lt;span class="jauge"&gt;-&lt;/span&gt;&lt;/p&gt;&lt;/td&gt;&lt;/tr&gt;&lt;/table class=""spec""&gt;&lt;div class="effets"&gt;Une attaque puissante qui inflige un malus de  -5 à toute parade qui lui est opposée.&lt;/div&gt;&lt;/div&gt;</v>
      </c>
      <c r="AG15" s="8" t="str">
        <f>IF(ISBLANK(Tableau1[[#This Row],[Nom]]),"",IF(B15&lt;&gt;B14,CONCATENATE("&lt;/div&gt;&lt;div class=""voie ",Tableau1[[#This Row],[Caractéristique]],"""&gt;&lt;h3&gt;",Tableau1[[#This Row],[Voie]],"&lt;/h3&gt;",Tableau1[[#This Row],[HTML_ligne]]),Tableau1[[#This Row],[HTML_ligne]]))</f>
        <v>&lt;div class="comp"&gt;&lt;h4 class="nom"&gt;Frappe lourde&lt;/h4&gt;&lt;table class="spec"&gt;&lt;tr&gt;&lt;td class="left"&gt;&lt;span class="profil"&gt;Profil Puissant&lt;/span&gt;&lt;span class="apprentissage"&gt;Apprentissage : &lt;span&gt;Vigueur 15&lt;/span&gt;&lt;/span&gt;&lt;/td&gt;&lt;td class="right"&gt;&lt;p&gt;Exécution : &lt;span&gt;6&lt;/span&gt;&lt;/p&gt;&lt;p&gt;Souffle : &lt;span class="jauge"&gt;2&lt;/span&gt;&lt;/p&gt;&lt;p&gt;Concentration : &lt;span class="jauge"&gt;-&lt;/span&gt;&lt;/p&gt;&lt;/td&gt;&lt;/tr&gt;&lt;/table class=""spec""&gt;&lt;div class="effets"&gt;Une attaque puissante qui inflige un malus de  -5 à toute parade qui lui est opposée.&lt;/div&gt;&lt;/div&gt;</v>
      </c>
    </row>
    <row r="16" spans="1:33" x14ac:dyDescent="0.25">
      <c r="A16" s="12">
        <v>3</v>
      </c>
      <c r="B16" s="3" t="s">
        <v>20</v>
      </c>
      <c r="C16" s="10">
        <v>3</v>
      </c>
      <c r="D16" s="3" t="s">
        <v>90</v>
      </c>
      <c r="E16" s="4">
        <f>IFERROR(VLOOKUP(Tableau1[[#This Row],[Niveau]],Tableau2[],2,FALSE),"")</f>
        <v>20</v>
      </c>
      <c r="F16" s="3" t="s">
        <v>59</v>
      </c>
      <c r="G16" s="10">
        <v>6</v>
      </c>
      <c r="H16" s="10">
        <v>2</v>
      </c>
      <c r="L16" s="10" t="b">
        <v>1</v>
      </c>
      <c r="M16" s="25" t="s">
        <v>36</v>
      </c>
      <c r="N16" s="4" t="b">
        <f>IF(Tableau1[[#This Row],[Niveau]]=0,TRUE,FALSE)</f>
        <v>0</v>
      </c>
      <c r="O16" s="5" t="s">
        <v>91</v>
      </c>
      <c r="P16" s="3"/>
      <c r="Q16" s="6" t="s">
        <v>65</v>
      </c>
      <c r="R16" s="6" t="str">
        <f>CONCATENATE("&lt;h4 class=""nom""&gt;",Tableau1[[#This Row],[Nom]],"&lt;/h4&gt;")</f>
        <v>&lt;h4 class="nom"&gt;Frappe du colosse&lt;/h4&gt;</v>
      </c>
      <c r="S16" s="6" t="s">
        <v>66</v>
      </c>
      <c r="T16" s="6" t="str">
        <f>IF(Tableau1[[#This Row],[Passif ?]],"&lt;span class=""passive""&gt;Action passive&lt;/span&gt;","")</f>
        <v/>
      </c>
      <c r="U16" s="6" t="str">
        <f>IF(ISBLANK(Tableau1[[#This Row],[Profil]]),"",CONCATENATE("&lt;span class=""profil""&gt;Profil ",Tableau1[[#This Row],[Profil]],"&lt;/span&gt;"))</f>
        <v>&lt;span class="profil"&gt;Profil Puissant&lt;/span&gt;</v>
      </c>
      <c r="V16" s="6" t="str">
        <f>IF(Tableau1[[#This Row],[Innée ?]],"&lt;span class=""innee""&gt;Action innée&lt;/span&gt;","")</f>
        <v/>
      </c>
      <c r="W16" s="6" t="str">
        <f>IF(Tableau1[[#This Row],[Niveau]]&gt;0,CONCATENATE("&lt;span class=""apprentissage""&gt;Apprentissage : &lt;span&gt;",Tableau1[[#This Row],[Caractéristique]], " ",Tableau1[[#This Row],[Apprentissage]],"&lt;/span&gt;&lt;/span&gt;"),"")</f>
        <v>&lt;span class="apprentissage"&gt;Apprentissage : &lt;span&gt;Vigueur 20&lt;/span&gt;&lt;/span&gt;</v>
      </c>
      <c r="X16" s="6" t="s">
        <v>67</v>
      </c>
      <c r="Y16" s="6" t="str">
        <f>CONCATENATE("&lt;p&gt;Exécution : &lt;span&gt;", IF(Tableau1[[#This Row],[Exécution]]&gt;0,Tableau1[[#This Row],[Exécution]],"-"), "&lt;/span&gt;&lt;/p&gt;")</f>
        <v>&lt;p&gt;Exécution : &lt;span&gt;6&lt;/span&gt;&lt;/p&gt;</v>
      </c>
      <c r="Z16" s="6" t="str">
        <f>CONCATENATE("&lt;p&gt;Souffle : &lt;span class=""jauge""&gt;", IF(Tableau1[[#This Row],[Souffle]]&gt;0,Tableau1[[#This Row],[Souffle]],"-"), "&lt;/span&gt;&lt;/p&gt;")</f>
        <v>&lt;p&gt;Souffle : &lt;span class="jauge"&gt;2&lt;/span&gt;&lt;/p&gt;</v>
      </c>
      <c r="AA16" s="6" t="str">
        <f>CONCATENATE("&lt;p&gt;Concentration : &lt;span class=""jauge""&gt;",IF(Tableau1[[#This Row],[Concentration]]&gt;0,Tableau1[[#This Row],[Concentration]],"-"), "&lt;/span&gt;&lt;/p&gt;")</f>
        <v>&lt;p&gt;Concentration : &lt;span class="jauge"&gt;-&lt;/span&gt;&lt;/p&gt;</v>
      </c>
      <c r="AB16" s="6" t="str">
        <f>IF(Tableau1[[#This Row],[Adrénaline]]&gt;0,CONCATENATE("&lt;p&gt;Adrénaline : &lt;span class=""jauge""&gt;", Tableau1[[#This Row],[Adrénaline]], "&lt;/span&gt;&lt;/p&gt;"),"")</f>
        <v/>
      </c>
      <c r="AC16" s="6" t="s">
        <v>50</v>
      </c>
      <c r="AD16" s="6" t="str">
        <f>CONCATENATE("&lt;div class=""effets""&gt;",Tableau1[[#This Row],[Effets]],"&lt;/div&gt;")</f>
        <v>&lt;div class="effets"&gt;L'attaque magistrale gagne un bonus de dégâts égal au quart de la &lt;span class="stat"&gt;Vigueur&lt;/span&gt; du personnage.&lt;/div&gt;</v>
      </c>
      <c r="AE16" s="6" t="s">
        <v>64</v>
      </c>
      <c r="AF16" s="6" t="str">
        <f>CONCATENATE(Tableau1[[#This Row],[HTML_prefix]],Tableau1[[#This Row],[HTML_nom]],Tableau1[[#This Row],[HTML_specs_prefix]],Tableau1[[#This Row],[HTML_passif]],Tableau1[[#This Row],[HTML_profil]],Tableau1[[#This Row],[HTML_innée]],Tableau1[[#This Row],[HTML_apprentissage]],Tableau1[[#This Row],[HTML_specs_col]],Tableau1[[#This Row],[HTML_Execution]],Tableau1[[#This Row],[HTML_Souffle]],Tableau1[[#This Row],[HTML_Concentration]],Tableau1[[#This Row],[HTML_Adrénaline]],Tableau1[[#This Row],[HTML_specs_suffix]],Tableau1[[#This Row],[HTML_effets]],Tableau1[[#This Row],[HTML_suffix]])</f>
        <v>&lt;div class="comp"&gt;&lt;h4 class="nom"&gt;Frappe du colosse&lt;/h4&gt;&lt;table class="spec"&gt;&lt;tr&gt;&lt;td class="left"&gt;&lt;span class="profil"&gt;Profil Puissant&lt;/span&gt;&lt;span class="apprentissage"&gt;Apprentissage : &lt;span&gt;Vigueur 20&lt;/span&gt;&lt;/span&gt;&lt;/td&gt;&lt;td class="right"&gt;&lt;p&gt;Exécution : &lt;span&gt;6&lt;/span&gt;&lt;/p&gt;&lt;p&gt;Souffle : &lt;span class="jauge"&gt;2&lt;/span&gt;&lt;/p&gt;&lt;p&gt;Concentration : &lt;span class="jauge"&gt;-&lt;/span&gt;&lt;/p&gt;&lt;/td&gt;&lt;/tr&gt;&lt;/table class=""spec""&gt;&lt;div class="effets"&gt;L'attaque magistrale gagne un bonus de dégâts égal au quart de la &lt;span class="stat"&gt;Vigueur&lt;/span&gt; du personnage.&lt;/div&gt;&lt;/div&gt;</v>
      </c>
      <c r="AG16" s="8" t="str">
        <f>IF(ISBLANK(Tableau1[[#This Row],[Nom]]),"",IF(B16&lt;&gt;B15,CONCATENATE("&lt;/div&gt;&lt;div class=""voie ",Tableau1[[#This Row],[Caractéristique]],"""&gt;&lt;h3&gt;",Tableau1[[#This Row],[Voie]],"&lt;/h3&gt;",Tableau1[[#This Row],[HTML_ligne]]),Tableau1[[#This Row],[HTML_ligne]]))</f>
        <v>&lt;div class="comp"&gt;&lt;h4 class="nom"&gt;Frappe du colosse&lt;/h4&gt;&lt;table class="spec"&gt;&lt;tr&gt;&lt;td class="left"&gt;&lt;span class="profil"&gt;Profil Puissant&lt;/span&gt;&lt;span class="apprentissage"&gt;Apprentissage : &lt;span&gt;Vigueur 20&lt;/span&gt;&lt;/span&gt;&lt;/td&gt;&lt;td class="right"&gt;&lt;p&gt;Exécution : &lt;span&gt;6&lt;/span&gt;&lt;/p&gt;&lt;p&gt;Souffle : &lt;span class="jauge"&gt;2&lt;/span&gt;&lt;/p&gt;&lt;p&gt;Concentration : &lt;span class="jauge"&gt;-&lt;/span&gt;&lt;/p&gt;&lt;/td&gt;&lt;/tr&gt;&lt;/table class=""spec""&gt;&lt;div class="effets"&gt;L'attaque magistrale gagne un bonus de dégâts égal au quart de la &lt;span class="stat"&gt;Vigueur&lt;/span&gt; du personnage.&lt;/div&gt;&lt;/div&gt;</v>
      </c>
    </row>
    <row r="17" spans="1:33" ht="45" x14ac:dyDescent="0.25">
      <c r="A17" s="12">
        <v>3</v>
      </c>
      <c r="B17" s="3" t="s">
        <v>20</v>
      </c>
      <c r="C17" s="10">
        <v>1</v>
      </c>
      <c r="D17" s="3" t="s">
        <v>228</v>
      </c>
      <c r="E17" s="4">
        <f>IFERROR(VLOOKUP(Tableau1[[#This Row],[Niveau]],Tableau2[],2,FALSE),"")</f>
        <v>10</v>
      </c>
      <c r="F17" s="3" t="s">
        <v>59</v>
      </c>
      <c r="G17" s="10">
        <v>6</v>
      </c>
      <c r="H17" s="10">
        <v>1</v>
      </c>
      <c r="L17" s="10" t="b">
        <v>1</v>
      </c>
      <c r="M17" s="25" t="s">
        <v>36</v>
      </c>
      <c r="N17" s="4" t="b">
        <f>IF(Tableau1[[#This Row],[Niveau]]=0,TRUE,FALSE)</f>
        <v>0</v>
      </c>
      <c r="O17" s="1" t="s">
        <v>231</v>
      </c>
      <c r="P17" s="3"/>
      <c r="Q17" s="6" t="s">
        <v>65</v>
      </c>
      <c r="R17" s="6" t="str">
        <f>CONCATENATE("&lt;h4 class=""nom""&gt;",Tableau1[[#This Row],[Nom]],"&lt;/h4&gt;")</f>
        <v>&lt;h4 class="nom"&gt;Fauchage&lt;/h4&gt;</v>
      </c>
      <c r="S17" s="6" t="s">
        <v>66</v>
      </c>
      <c r="T17" s="6" t="str">
        <f>IF(Tableau1[[#This Row],[Passif ?]],"&lt;span class=""passive""&gt;Action passive&lt;/span&gt;","")</f>
        <v/>
      </c>
      <c r="U17" s="6" t="str">
        <f>IF(ISBLANK(Tableau1[[#This Row],[Profil]]),"",CONCATENATE("&lt;span class=""profil""&gt;Profil ",Tableau1[[#This Row],[Profil]],"&lt;/span&gt;"))</f>
        <v>&lt;span class="profil"&gt;Profil Puissant&lt;/span&gt;</v>
      </c>
      <c r="V17" s="6" t="str">
        <f>IF(Tableau1[[#This Row],[Innée ?]],"&lt;span class=""innee""&gt;Action innée&lt;/span&gt;","")</f>
        <v/>
      </c>
      <c r="W17" s="6" t="str">
        <f>IF(Tableau1[[#This Row],[Niveau]]&gt;0,CONCATENATE("&lt;span class=""apprentissage""&gt;Apprentissage : &lt;span&gt;",Tableau1[[#This Row],[Caractéristique]], " ",Tableau1[[#This Row],[Apprentissage]],"&lt;/span&gt;&lt;/span&gt;"),"")</f>
        <v>&lt;span class="apprentissage"&gt;Apprentissage : &lt;span&gt;Vigueur 10&lt;/span&gt;&lt;/span&gt;</v>
      </c>
      <c r="X17" s="6" t="s">
        <v>67</v>
      </c>
      <c r="Y17" s="6" t="str">
        <f>CONCATENATE("&lt;p&gt;Exécution : &lt;span&gt;", IF(Tableau1[[#This Row],[Exécution]]&gt;0,Tableau1[[#This Row],[Exécution]],"-"), "&lt;/span&gt;&lt;/p&gt;")</f>
        <v>&lt;p&gt;Exécution : &lt;span&gt;6&lt;/span&gt;&lt;/p&gt;</v>
      </c>
      <c r="Z17" s="6" t="str">
        <f>CONCATENATE("&lt;p&gt;Souffle : &lt;span class=""jauge""&gt;", IF(Tableau1[[#This Row],[Souffle]]&gt;0,Tableau1[[#This Row],[Souffle]],"-"), "&lt;/span&gt;&lt;/p&gt;")</f>
        <v>&lt;p&gt;Souffle : &lt;span class="jauge"&gt;1&lt;/span&gt;&lt;/p&gt;</v>
      </c>
      <c r="AA17" s="6" t="str">
        <f>CONCATENATE("&lt;p&gt;Concentration : &lt;span class=""jauge""&gt;",IF(Tableau1[[#This Row],[Concentration]]&gt;0,Tableau1[[#This Row],[Concentration]],"-"), "&lt;/span&gt;&lt;/p&gt;")</f>
        <v>&lt;p&gt;Concentration : &lt;span class="jauge"&gt;-&lt;/span&gt;&lt;/p&gt;</v>
      </c>
      <c r="AB17" s="6" t="str">
        <f>IF(Tableau1[[#This Row],[Adrénaline]]&gt;0,CONCATENATE("&lt;p&gt;Adrénaline : &lt;span class=""jauge""&gt;", Tableau1[[#This Row],[Adrénaline]], "&lt;/span&gt;&lt;/p&gt;"),"")</f>
        <v/>
      </c>
      <c r="AC17" s="6" t="s">
        <v>50</v>
      </c>
      <c r="AD17" s="6" t="str">
        <f>CONCATENATE("&lt;div class=""effets""&gt;",Tableau1[[#This Row],[Effets]],"&lt;/div&gt;")</f>
        <v>&lt;div class="effets"&gt;Le personnage lance une attaque circulaire en direction des jambes de son adversaire. Les localisations atteignables ne sont que les jambes et l’attaque subit un malus de -5 mais si celle-ci touche, l’ennemi doit réussir un test de &lt;span class="stat"&gt;Vigueur&lt;/span&gt; à 20 ou tomber au sol. Si celui-ci venait de se déplacer le test subit un malus de -5.&lt;/div&gt;</v>
      </c>
      <c r="AE17" s="6" t="s">
        <v>64</v>
      </c>
      <c r="AF17" s="6" t="str">
        <f>CONCATENATE(Tableau1[[#This Row],[HTML_prefix]],Tableau1[[#This Row],[HTML_nom]],Tableau1[[#This Row],[HTML_specs_prefix]],Tableau1[[#This Row],[HTML_passif]],Tableau1[[#This Row],[HTML_profil]],Tableau1[[#This Row],[HTML_innée]],Tableau1[[#This Row],[HTML_apprentissage]],Tableau1[[#This Row],[HTML_specs_col]],Tableau1[[#This Row],[HTML_Execution]],Tableau1[[#This Row],[HTML_Souffle]],Tableau1[[#This Row],[HTML_Concentration]],Tableau1[[#This Row],[HTML_Adrénaline]],Tableau1[[#This Row],[HTML_specs_suffix]],Tableau1[[#This Row],[HTML_effets]],Tableau1[[#This Row],[HTML_suffix]])</f>
        <v>&lt;div class="comp"&gt;&lt;h4 class="nom"&gt;Fauchage&lt;/h4&gt;&lt;table class="spec"&gt;&lt;tr&gt;&lt;td class="left"&gt;&lt;span class="profil"&gt;Profil Puissant&lt;/span&gt;&lt;span class="apprentissage"&gt;Apprentissage : &lt;span&gt;Vigueur 10&lt;/span&gt;&lt;/span&gt;&lt;/td&gt;&lt;td class="right"&gt;&lt;p&gt;Exécution : &lt;span&gt;6&lt;/span&gt;&lt;/p&gt;&lt;p&gt;Souffle : &lt;span class="jauge"&gt;1&lt;/span&gt;&lt;/p&gt;&lt;p&gt;Concentration : &lt;span class="jauge"&gt;-&lt;/span&gt;&lt;/p&gt;&lt;/td&gt;&lt;/tr&gt;&lt;/table class=""spec""&gt;&lt;div class="effets"&gt;Le personnage lance une attaque circulaire en direction des jambes de son adversaire. Les localisations atteignables ne sont que les jambes et l’attaque subit un malus de -5 mais si celle-ci touche, l’ennemi doit réussir un test de &lt;span class="stat"&gt;Vigueur&lt;/span&gt; à 20 ou tomber au sol. Si celui-ci venait de se déplacer le test subit un malus de -5.&lt;/div&gt;&lt;/div&gt;</v>
      </c>
      <c r="AG17" s="8" t="str">
        <f>IF(ISBLANK(Tableau1[[#This Row],[Nom]]),"",IF(B17&lt;&gt;B16,CONCATENATE("&lt;/div&gt;&lt;div class=""voie ",Tableau1[[#This Row],[Caractéristique]],"""&gt;&lt;h3&gt;",Tableau1[[#This Row],[Voie]],"&lt;/h3&gt;",Tableau1[[#This Row],[HTML_ligne]]),Tableau1[[#This Row],[HTML_ligne]]))</f>
        <v>&lt;div class="comp"&gt;&lt;h4 class="nom"&gt;Fauchage&lt;/h4&gt;&lt;table class="spec"&gt;&lt;tr&gt;&lt;td class="left"&gt;&lt;span class="profil"&gt;Profil Puissant&lt;/span&gt;&lt;span class="apprentissage"&gt;Apprentissage : &lt;span&gt;Vigueur 10&lt;/span&gt;&lt;/span&gt;&lt;/td&gt;&lt;td class="right"&gt;&lt;p&gt;Exécution : &lt;span&gt;6&lt;/span&gt;&lt;/p&gt;&lt;p&gt;Souffle : &lt;span class="jauge"&gt;1&lt;/span&gt;&lt;/p&gt;&lt;p&gt;Concentration : &lt;span class="jauge"&gt;-&lt;/span&gt;&lt;/p&gt;&lt;/td&gt;&lt;/tr&gt;&lt;/table class=""spec""&gt;&lt;div class="effets"&gt;Le personnage lance une attaque circulaire en direction des jambes de son adversaire. Les localisations atteignables ne sont que les jambes et l’attaque subit un malus de -5 mais si celle-ci touche, l’ennemi doit réussir un test de &lt;span class="stat"&gt;Vigueur&lt;/span&gt; à 20 ou tomber au sol. Si celui-ci venait de se déplacer le test subit un malus de -5.&lt;/div&gt;&lt;/div&gt;</v>
      </c>
    </row>
    <row r="18" spans="1:33" x14ac:dyDescent="0.25">
      <c r="A18" s="12">
        <v>4</v>
      </c>
      <c r="B18" s="3" t="s">
        <v>18</v>
      </c>
      <c r="C18" s="10">
        <v>0</v>
      </c>
      <c r="D18" s="3" t="s">
        <v>25</v>
      </c>
      <c r="E18" s="4">
        <f>IFERROR(VLOOKUP(Tableau1[[#This Row],[Niveau]],Tableau2[],2,FALSE),"")</f>
        <v>0</v>
      </c>
      <c r="F18" s="3" t="s">
        <v>57</v>
      </c>
      <c r="G18" s="10">
        <v>4</v>
      </c>
      <c r="L18" s="10" t="b">
        <v>1</v>
      </c>
      <c r="M18" s="25" t="s">
        <v>35</v>
      </c>
      <c r="N18" s="4" t="b">
        <f>IF(Tableau1[[#This Row],[Niveau]]=0,TRUE,FALSE)</f>
        <v>1</v>
      </c>
      <c r="O18" s="5" t="s">
        <v>70</v>
      </c>
      <c r="P18" s="3"/>
      <c r="Q18" s="6" t="s">
        <v>65</v>
      </c>
      <c r="R18" s="6" t="str">
        <f>CONCATENATE("&lt;h4 class=""nom""&gt;",Tableau1[[#This Row],[Nom]],"&lt;/h4&gt;")</f>
        <v>&lt;h4 class="nom"&gt;Coup rapide&lt;/h4&gt;</v>
      </c>
      <c r="S18" s="6" t="s">
        <v>66</v>
      </c>
      <c r="T18" s="6" t="str">
        <f>IF(Tableau1[[#This Row],[Passif ?]],"&lt;span class=""passive""&gt;Action passive&lt;/span&gt;","")</f>
        <v/>
      </c>
      <c r="U18" s="6" t="str">
        <f>IF(ISBLANK(Tableau1[[#This Row],[Profil]]),"",CONCATENATE("&lt;span class=""profil""&gt;Profil ",Tableau1[[#This Row],[Profil]],"&lt;/span&gt;"))</f>
        <v>&lt;span class="profil"&gt;Profil Rapide&lt;/span&gt;</v>
      </c>
      <c r="V18" s="6" t="str">
        <f>IF(Tableau1[[#This Row],[Innée ?]],"&lt;span class=""innee""&gt;Action innée&lt;/span&gt;","")</f>
        <v>&lt;span class="innee"&gt;Action innée&lt;/span&gt;</v>
      </c>
      <c r="W18" s="6" t="str">
        <f>IF(Tableau1[[#This Row],[Niveau]]&gt;0,CONCATENATE("&lt;span class=""apprentissage""&gt;Apprentissage : &lt;span&gt;",Tableau1[[#This Row],[Caractéristique]], " ",Tableau1[[#This Row],[Apprentissage]],"&lt;/span&gt;&lt;/span&gt;"),"")</f>
        <v/>
      </c>
      <c r="X18" s="6" t="s">
        <v>67</v>
      </c>
      <c r="Y18" s="6" t="str">
        <f>CONCATENATE("&lt;p&gt;Exécution : &lt;span&gt;", IF(Tableau1[[#This Row],[Exécution]]&gt;0,Tableau1[[#This Row],[Exécution]],"-"), "&lt;/span&gt;&lt;/p&gt;")</f>
        <v>&lt;p&gt;Exécution : &lt;span&gt;4&lt;/span&gt;&lt;/p&gt;</v>
      </c>
      <c r="Z18" s="6" t="str">
        <f>CONCATENATE("&lt;p&gt;Souffle : &lt;span class=""jauge""&gt;", IF(Tableau1[[#This Row],[Souffle]]&gt;0,Tableau1[[#This Row],[Souffle]],"-"), "&lt;/span&gt;&lt;/p&gt;")</f>
        <v>&lt;p&gt;Souffle : &lt;span class="jauge"&gt;-&lt;/span&gt;&lt;/p&gt;</v>
      </c>
      <c r="AA18" s="6" t="str">
        <f>CONCATENATE("&lt;p&gt;Concentration : &lt;span class=""jauge""&gt;",IF(Tableau1[[#This Row],[Concentration]]&gt;0,Tableau1[[#This Row],[Concentration]],"-"), "&lt;/span&gt;&lt;/p&gt;")</f>
        <v>&lt;p&gt;Concentration : &lt;span class="jauge"&gt;-&lt;/span&gt;&lt;/p&gt;</v>
      </c>
      <c r="AB18" s="6" t="str">
        <f>IF(Tableau1[[#This Row],[Adrénaline]]&gt;0,CONCATENATE("&lt;p&gt;Adrénaline : &lt;span class=""jauge""&gt;", Tableau1[[#This Row],[Adrénaline]], "&lt;/span&gt;&lt;/p&gt;"),"")</f>
        <v/>
      </c>
      <c r="AC18" s="6" t="s">
        <v>50</v>
      </c>
      <c r="AD18" s="6" t="str">
        <f>CONCATENATE("&lt;div class=""effets""&gt;",Tableau1[[#This Row],[Effets]],"&lt;/div&gt;")</f>
        <v>&lt;div class="effets"&gt;Un coup simple et rapide pour frapper au plus vite.&lt;/div&gt;</v>
      </c>
      <c r="AE18" s="6" t="s">
        <v>64</v>
      </c>
      <c r="AF18" s="6" t="str">
        <f>CONCATENATE(Tableau1[[#This Row],[HTML_prefix]],Tableau1[[#This Row],[HTML_nom]],Tableau1[[#This Row],[HTML_specs_prefix]],Tableau1[[#This Row],[HTML_passif]],Tableau1[[#This Row],[HTML_profil]],Tableau1[[#This Row],[HTML_innée]],Tableau1[[#This Row],[HTML_apprentissage]],Tableau1[[#This Row],[HTML_specs_col]],Tableau1[[#This Row],[HTML_Execution]],Tableau1[[#This Row],[HTML_Souffle]],Tableau1[[#This Row],[HTML_Concentration]],Tableau1[[#This Row],[HTML_Adrénaline]],Tableau1[[#This Row],[HTML_specs_suffix]],Tableau1[[#This Row],[HTML_effets]],Tableau1[[#This Row],[HTML_suffix]])</f>
        <v>&lt;div class="comp"&gt;&lt;h4 class="nom"&gt;Coup rapide&lt;/h4&gt;&lt;table class="spec"&gt;&lt;tr&gt;&lt;td class="left"&gt;&lt;span class="profil"&gt;Profil Rapide&lt;/span&gt;&lt;span class="innee"&gt;Action innée&lt;/span&gt;&lt;/td&gt;&lt;td class="right"&gt;&lt;p&gt;Exécution : &lt;span&gt;4&lt;/span&gt;&lt;/p&gt;&lt;p&gt;Souffle : &lt;span class="jauge"&gt;-&lt;/span&gt;&lt;/p&gt;&lt;p&gt;Concentration : &lt;span class="jauge"&gt;-&lt;/span&gt;&lt;/p&gt;&lt;/td&gt;&lt;/tr&gt;&lt;/table class=""spec""&gt;&lt;div class="effets"&gt;Un coup simple et rapide pour frapper au plus vite.&lt;/div&gt;&lt;/div&gt;</v>
      </c>
      <c r="AG18" s="8" t="str">
        <f>IF(ISBLANK(Tableau1[[#This Row],[Nom]]),"",IF(B18&lt;&gt;B17,CONCATENATE("&lt;/div&gt;&lt;div class=""voie ",Tableau1[[#This Row],[Caractéristique]],"""&gt;&lt;h3&gt;",Tableau1[[#This Row],[Voie]],"&lt;/h3&gt;",Tableau1[[#This Row],[HTML_ligne]]),Tableau1[[#This Row],[HTML_ligne]]))</f>
        <v>&lt;/div&gt;&lt;div class="voie Vivacité"&gt;&lt;h3&gt;Vitesse&lt;/h3&gt;&lt;div class="comp"&gt;&lt;h4 class="nom"&gt;Coup rapide&lt;/h4&gt;&lt;table class="spec"&gt;&lt;tr&gt;&lt;td class="left"&gt;&lt;span class="profil"&gt;Profil Rapide&lt;/span&gt;&lt;span class="innee"&gt;Action innée&lt;/span&gt;&lt;/td&gt;&lt;td class="right"&gt;&lt;p&gt;Exécution : &lt;span&gt;4&lt;/span&gt;&lt;/p&gt;&lt;p&gt;Souffle : &lt;span class="jauge"&gt;-&lt;/span&gt;&lt;/p&gt;&lt;p&gt;Concentration : &lt;span class="jauge"&gt;-&lt;/span&gt;&lt;/p&gt;&lt;/td&gt;&lt;/tr&gt;&lt;/table class=""spec""&gt;&lt;div class="effets"&gt;Un coup simple et rapide pour frapper au plus vite.&lt;/div&gt;&lt;/div&gt;</v>
      </c>
    </row>
    <row r="19" spans="1:33" x14ac:dyDescent="0.25">
      <c r="A19" s="12">
        <v>4</v>
      </c>
      <c r="B19" s="3" t="s">
        <v>18</v>
      </c>
      <c r="C19" s="10">
        <v>1</v>
      </c>
      <c r="D19" s="3" t="s">
        <v>71</v>
      </c>
      <c r="E19" s="4">
        <f>IFERROR(VLOOKUP(Tableau1[[#This Row],[Niveau]],Tableau2[],2,FALSE),"")</f>
        <v>10</v>
      </c>
      <c r="F19" s="3" t="s">
        <v>57</v>
      </c>
      <c r="K19" s="10" t="b">
        <v>1</v>
      </c>
      <c r="N19" s="4" t="b">
        <f>IF(Tableau1[[#This Row],[Niveau]]=0,TRUE,FALSE)</f>
        <v>0</v>
      </c>
      <c r="O19" s="5" t="s">
        <v>28</v>
      </c>
      <c r="P19" s="3"/>
      <c r="Q19" s="6" t="s">
        <v>65</v>
      </c>
      <c r="R19" s="6" t="str">
        <f>CONCATENATE("&lt;h4 class=""nom""&gt;",Tableau1[[#This Row],[Nom]],"&lt;/h4&gt;")</f>
        <v>&lt;h4 class="nom"&gt;Encore plus vite !&lt;/h4&gt;</v>
      </c>
      <c r="S19" s="6" t="s">
        <v>66</v>
      </c>
      <c r="T19" s="6" t="str">
        <f>IF(Tableau1[[#This Row],[Passif ?]],"&lt;span class=""passive""&gt;Action passive&lt;/span&gt;","")</f>
        <v>&lt;span class="passive"&gt;Action passive&lt;/span&gt;</v>
      </c>
      <c r="U19" s="6" t="str">
        <f>IF(ISBLANK(Tableau1[[#This Row],[Profil]]),"",CONCATENATE("&lt;span class=""profil""&gt;Profil ",Tableau1[[#This Row],[Profil]],"&lt;/span&gt;"))</f>
        <v/>
      </c>
      <c r="V19" s="6" t="str">
        <f>IF(Tableau1[[#This Row],[Innée ?]],"&lt;span class=""innee""&gt;Action innée&lt;/span&gt;","")</f>
        <v/>
      </c>
      <c r="W19" s="6" t="str">
        <f>IF(Tableau1[[#This Row],[Niveau]]&gt;0,CONCATENATE("&lt;span class=""apprentissage""&gt;Apprentissage : &lt;span&gt;",Tableau1[[#This Row],[Caractéristique]], " ",Tableau1[[#This Row],[Apprentissage]],"&lt;/span&gt;&lt;/span&gt;"),"")</f>
        <v>&lt;span class="apprentissage"&gt;Apprentissage : &lt;span&gt;Vivacité 10&lt;/span&gt;&lt;/span&gt;</v>
      </c>
      <c r="X19" s="6" t="s">
        <v>67</v>
      </c>
      <c r="Y19" s="6" t="str">
        <f>CONCATENATE("&lt;p&gt;Exécution : &lt;span&gt;", IF(Tableau1[[#This Row],[Exécution]]&gt;0,Tableau1[[#This Row],[Exécution]],"-"), "&lt;/span&gt;&lt;/p&gt;")</f>
        <v>&lt;p&gt;Exécution : &lt;span&gt;-&lt;/span&gt;&lt;/p&gt;</v>
      </c>
      <c r="Z19" s="6" t="str">
        <f>CONCATENATE("&lt;p&gt;Souffle : &lt;span class=""jauge""&gt;", IF(Tableau1[[#This Row],[Souffle]]&gt;0,Tableau1[[#This Row],[Souffle]],"-"), "&lt;/span&gt;&lt;/p&gt;")</f>
        <v>&lt;p&gt;Souffle : &lt;span class="jauge"&gt;-&lt;/span&gt;&lt;/p&gt;</v>
      </c>
      <c r="AA19" s="6" t="str">
        <f>CONCATENATE("&lt;p&gt;Concentration : &lt;span class=""jauge""&gt;",IF(Tableau1[[#This Row],[Concentration]]&gt;0,Tableau1[[#This Row],[Concentration]],"-"), "&lt;/span&gt;&lt;/p&gt;")</f>
        <v>&lt;p&gt;Concentration : &lt;span class="jauge"&gt;-&lt;/span&gt;&lt;/p&gt;</v>
      </c>
      <c r="AB19" s="6" t="str">
        <f>IF(Tableau1[[#This Row],[Adrénaline]]&gt;0,CONCATENATE("&lt;p&gt;Adrénaline : &lt;span class=""jauge""&gt;", Tableau1[[#This Row],[Adrénaline]], "&lt;/span&gt;&lt;/p&gt;"),"")</f>
        <v/>
      </c>
      <c r="AC19" s="6" t="s">
        <v>50</v>
      </c>
      <c r="AD19" s="6" t="str">
        <f>CONCATENATE("&lt;div class=""effets""&gt;",Tableau1[[#This Row],[Effets]],"&lt;/div&gt;")</f>
        <v>&lt;div class="effets"&gt;Les actions de combat de la voie de la vitesse nécessitent 1 temps d'Exécution de moins.&lt;/div&gt;</v>
      </c>
      <c r="AE19" s="6" t="s">
        <v>64</v>
      </c>
      <c r="AF19" s="6" t="str">
        <f>CONCATENATE(Tableau1[[#This Row],[HTML_prefix]],Tableau1[[#This Row],[HTML_nom]],Tableau1[[#This Row],[HTML_specs_prefix]],Tableau1[[#This Row],[HTML_passif]],Tableau1[[#This Row],[HTML_profil]],Tableau1[[#This Row],[HTML_innée]],Tableau1[[#This Row],[HTML_apprentissage]],Tableau1[[#This Row],[HTML_specs_col]],Tableau1[[#This Row],[HTML_Execution]],Tableau1[[#This Row],[HTML_Souffle]],Tableau1[[#This Row],[HTML_Concentration]],Tableau1[[#This Row],[HTML_Adrénaline]],Tableau1[[#This Row],[HTML_specs_suffix]],Tableau1[[#This Row],[HTML_effets]],Tableau1[[#This Row],[HTML_suffix]])</f>
        <v>&lt;div class="comp"&gt;&lt;h4 class="nom"&gt;Encore plus vite !&lt;/h4&gt;&lt;table class="spec"&gt;&lt;tr&gt;&lt;td class="left"&gt;&lt;span class="passive"&gt;Action passive&lt;/span&gt;&lt;span class="apprentissage"&gt;Apprentissage : &lt;span&gt;Vivacité 10&lt;/span&gt;&lt;/span&gt;&lt;/td&gt;&lt;td class="right"&gt;&lt;p&gt;Exécution : &lt;span&gt;-&lt;/span&gt;&lt;/p&gt;&lt;p&gt;Souffle : &lt;span class="jauge"&gt;-&lt;/span&gt;&lt;/p&gt;&lt;p&gt;Concentration : &lt;span class="jauge"&gt;-&lt;/span&gt;&lt;/p&gt;&lt;/td&gt;&lt;/tr&gt;&lt;/table class=""spec""&gt;&lt;div class="effets"&gt;Les actions de combat de la voie de la vitesse nécessitent 1 temps d'Exécution de moins.&lt;/div&gt;&lt;/div&gt;</v>
      </c>
      <c r="AG19" s="8" t="str">
        <f>IF(ISBLANK(Tableau1[[#This Row],[Nom]]),"",IF(B19&lt;&gt;B18,CONCATENATE("&lt;/div&gt;&lt;div class=""voie ",Tableau1[[#This Row],[Caractéristique]],"""&gt;&lt;h3&gt;",Tableau1[[#This Row],[Voie]],"&lt;/h3&gt;",Tableau1[[#This Row],[HTML_ligne]]),Tableau1[[#This Row],[HTML_ligne]]))</f>
        <v>&lt;div class="comp"&gt;&lt;h4 class="nom"&gt;Encore plus vite !&lt;/h4&gt;&lt;table class="spec"&gt;&lt;tr&gt;&lt;td class="left"&gt;&lt;span class="passive"&gt;Action passive&lt;/span&gt;&lt;span class="apprentissage"&gt;Apprentissage : &lt;span&gt;Vivacité 10&lt;/span&gt;&lt;/span&gt;&lt;/td&gt;&lt;td class="right"&gt;&lt;p&gt;Exécution : &lt;span&gt;-&lt;/span&gt;&lt;/p&gt;&lt;p&gt;Souffle : &lt;span class="jauge"&gt;-&lt;/span&gt;&lt;/p&gt;&lt;p&gt;Concentration : &lt;span class="jauge"&gt;-&lt;/span&gt;&lt;/p&gt;&lt;/td&gt;&lt;/tr&gt;&lt;/table class=""spec""&gt;&lt;div class="effets"&gt;Les actions de combat de la voie de la vitesse nécessitent 1 temps d'Exécution de moins.&lt;/div&gt;&lt;/div&gt;</v>
      </c>
    </row>
    <row r="20" spans="1:33" x14ac:dyDescent="0.25">
      <c r="A20" s="12">
        <v>4</v>
      </c>
      <c r="B20" s="3" t="s">
        <v>18</v>
      </c>
      <c r="C20" s="10">
        <v>2</v>
      </c>
      <c r="D20" s="3" t="s">
        <v>30</v>
      </c>
      <c r="E20" s="4">
        <f>IFERROR(VLOOKUP(Tableau1[[#This Row],[Niveau]],Tableau2[],2,FALSE),"")</f>
        <v>15</v>
      </c>
      <c r="F20" s="3" t="s">
        <v>57</v>
      </c>
      <c r="G20" s="10">
        <v>4</v>
      </c>
      <c r="H20" s="10">
        <v>1</v>
      </c>
      <c r="L20" s="10" t="b">
        <v>1</v>
      </c>
      <c r="M20" s="25" t="s">
        <v>35</v>
      </c>
      <c r="N20" s="4" t="b">
        <f>IF(Tableau1[[#This Row],[Niveau]]=0,TRUE,FALSE)</f>
        <v>0</v>
      </c>
      <c r="O20" s="5" t="s">
        <v>82</v>
      </c>
      <c r="P20" s="3"/>
      <c r="Q20" s="6" t="s">
        <v>65</v>
      </c>
      <c r="R20" s="6" t="str">
        <f>CONCATENATE("&lt;h4 class=""nom""&gt;",Tableau1[[#This Row],[Nom]],"&lt;/h4&gt;")</f>
        <v>&lt;h4 class="nom"&gt;Rush&lt;/h4&gt;</v>
      </c>
      <c r="S20" s="6" t="s">
        <v>66</v>
      </c>
      <c r="T20" s="6" t="str">
        <f>IF(Tableau1[[#This Row],[Passif ?]],"&lt;span class=""passive""&gt;Action passive&lt;/span&gt;","")</f>
        <v/>
      </c>
      <c r="U20" s="6" t="str">
        <f>IF(ISBLANK(Tableau1[[#This Row],[Profil]]),"",CONCATENATE("&lt;span class=""profil""&gt;Profil ",Tableau1[[#This Row],[Profil]],"&lt;/span&gt;"))</f>
        <v>&lt;span class="profil"&gt;Profil Rapide&lt;/span&gt;</v>
      </c>
      <c r="V20" s="6" t="str">
        <f>IF(Tableau1[[#This Row],[Innée ?]],"&lt;span class=""innee""&gt;Action innée&lt;/span&gt;","")</f>
        <v/>
      </c>
      <c r="W20" s="6" t="str">
        <f>IF(Tableau1[[#This Row],[Niveau]]&gt;0,CONCATENATE("&lt;span class=""apprentissage""&gt;Apprentissage : &lt;span&gt;",Tableau1[[#This Row],[Caractéristique]], " ",Tableau1[[#This Row],[Apprentissage]],"&lt;/span&gt;&lt;/span&gt;"),"")</f>
        <v>&lt;span class="apprentissage"&gt;Apprentissage : &lt;span&gt;Vivacité 15&lt;/span&gt;&lt;/span&gt;</v>
      </c>
      <c r="X20" s="6" t="s">
        <v>67</v>
      </c>
      <c r="Y20" s="6" t="str">
        <f>CONCATENATE("&lt;p&gt;Exécution : &lt;span&gt;", IF(Tableau1[[#This Row],[Exécution]]&gt;0,Tableau1[[#This Row],[Exécution]],"-"), "&lt;/span&gt;&lt;/p&gt;")</f>
        <v>&lt;p&gt;Exécution : &lt;span&gt;4&lt;/span&gt;&lt;/p&gt;</v>
      </c>
      <c r="Z20" s="6" t="str">
        <f>CONCATENATE("&lt;p&gt;Souffle : &lt;span class=""jauge""&gt;", IF(Tableau1[[#This Row],[Souffle]]&gt;0,Tableau1[[#This Row],[Souffle]],"-"), "&lt;/span&gt;&lt;/p&gt;")</f>
        <v>&lt;p&gt;Souffle : &lt;span class="jauge"&gt;1&lt;/span&gt;&lt;/p&gt;</v>
      </c>
      <c r="AA20" s="6" t="str">
        <f>CONCATENATE("&lt;p&gt;Concentration : &lt;span class=""jauge""&gt;",IF(Tableau1[[#This Row],[Concentration]]&gt;0,Tableau1[[#This Row],[Concentration]],"-"), "&lt;/span&gt;&lt;/p&gt;")</f>
        <v>&lt;p&gt;Concentration : &lt;span class="jauge"&gt;-&lt;/span&gt;&lt;/p&gt;</v>
      </c>
      <c r="AB20" s="6" t="str">
        <f>IF(Tableau1[[#This Row],[Adrénaline]]&gt;0,CONCATENATE("&lt;p&gt;Adrénaline : &lt;span class=""jauge""&gt;", Tableau1[[#This Row],[Adrénaline]], "&lt;/span&gt;&lt;/p&gt;"),"")</f>
        <v/>
      </c>
      <c r="AC20" s="6" t="s">
        <v>50</v>
      </c>
      <c r="AD20" s="6" t="str">
        <f>CONCATENATE("&lt;div class=""effets""&gt;",Tableau1[[#This Row],[Effets]],"&lt;/div&gt;")</f>
        <v>&lt;div class="effets"&gt;Une attaque flugurente qui inflige un malus de -5 à toute esquive qui lui est opposée.&lt;/div&gt;</v>
      </c>
      <c r="AE20" s="6" t="s">
        <v>64</v>
      </c>
      <c r="AF20" s="6" t="str">
        <f>CONCATENATE(Tableau1[[#This Row],[HTML_prefix]],Tableau1[[#This Row],[HTML_nom]],Tableau1[[#This Row],[HTML_specs_prefix]],Tableau1[[#This Row],[HTML_passif]],Tableau1[[#This Row],[HTML_profil]],Tableau1[[#This Row],[HTML_innée]],Tableau1[[#This Row],[HTML_apprentissage]],Tableau1[[#This Row],[HTML_specs_col]],Tableau1[[#This Row],[HTML_Execution]],Tableau1[[#This Row],[HTML_Souffle]],Tableau1[[#This Row],[HTML_Concentration]],Tableau1[[#This Row],[HTML_Adrénaline]],Tableau1[[#This Row],[HTML_specs_suffix]],Tableau1[[#This Row],[HTML_effets]],Tableau1[[#This Row],[HTML_suffix]])</f>
        <v>&lt;div class="comp"&gt;&lt;h4 class="nom"&gt;Rush&lt;/h4&gt;&lt;table class="spec"&gt;&lt;tr&gt;&lt;td class="left"&gt;&lt;span class="profil"&gt;Profil Rapide&lt;/span&gt;&lt;span class="apprentissage"&gt;Apprentissage : &lt;span&gt;Vivacité 15&lt;/span&gt;&lt;/span&gt;&lt;/td&gt;&lt;td class="right"&gt;&lt;p&gt;Exécution : &lt;span&gt;4&lt;/span&gt;&lt;/p&gt;&lt;p&gt;Souffle : &lt;span class="jauge"&gt;1&lt;/span&gt;&lt;/p&gt;&lt;p&gt;Concentration : &lt;span class="jauge"&gt;-&lt;/span&gt;&lt;/p&gt;&lt;/td&gt;&lt;/tr&gt;&lt;/table class=""spec""&gt;&lt;div class="effets"&gt;Une attaque flugurente qui inflige un malus de -5 à toute esquive qui lui est opposée.&lt;/div&gt;&lt;/div&gt;</v>
      </c>
      <c r="AG20" s="8" t="str">
        <f>IF(ISBLANK(Tableau1[[#This Row],[Nom]]),"",IF(B20&lt;&gt;B19,CONCATENATE("&lt;/div&gt;&lt;div class=""voie ",Tableau1[[#This Row],[Caractéristique]],"""&gt;&lt;h3&gt;",Tableau1[[#This Row],[Voie]],"&lt;/h3&gt;",Tableau1[[#This Row],[HTML_ligne]]),Tableau1[[#This Row],[HTML_ligne]]))</f>
        <v>&lt;div class="comp"&gt;&lt;h4 class="nom"&gt;Rush&lt;/h4&gt;&lt;table class="spec"&gt;&lt;tr&gt;&lt;td class="left"&gt;&lt;span class="profil"&gt;Profil Rapide&lt;/span&gt;&lt;span class="apprentissage"&gt;Apprentissage : &lt;span&gt;Vivacité 15&lt;/span&gt;&lt;/span&gt;&lt;/td&gt;&lt;td class="right"&gt;&lt;p&gt;Exécution : &lt;span&gt;4&lt;/span&gt;&lt;/p&gt;&lt;p&gt;Souffle : &lt;span class="jauge"&gt;1&lt;/span&gt;&lt;/p&gt;&lt;p&gt;Concentration : &lt;span class="jauge"&gt;-&lt;/span&gt;&lt;/p&gt;&lt;/td&gt;&lt;/tr&gt;&lt;/table class=""spec""&gt;&lt;div class="effets"&gt;Une attaque flugurente qui inflige un malus de -5 à toute esquive qui lui est opposée.&lt;/div&gt;&lt;/div&gt;</v>
      </c>
    </row>
    <row r="21" spans="1:33" x14ac:dyDescent="0.25">
      <c r="A21" s="12">
        <v>4</v>
      </c>
      <c r="B21" s="3" t="s">
        <v>18</v>
      </c>
      <c r="E21" s="19">
        <f>IFERROR(VLOOKUP(Tableau1[[#This Row],[Niveau]],Tableau2[],2,FALSE),"")</f>
        <v>0</v>
      </c>
      <c r="N21" s="19" t="b">
        <f>IF(Tableau1[[#This Row],[Niveau]]=0,TRUE,FALSE)</f>
        <v>1</v>
      </c>
      <c r="R21" s="20" t="str">
        <f>CONCATENATE("&lt;h4 class=""nom""&gt;",Tableau1[[#This Row],[Nom]],"&lt;/h4&gt;")</f>
        <v>&lt;h4 class="nom"&gt;&lt;/h4&gt;</v>
      </c>
      <c r="S21" s="20"/>
      <c r="T21" s="20" t="str">
        <f>IF(Tableau1[[#This Row],[Passif ?]],"&lt;span class=""passive""&gt;Action passive&lt;/span&gt;","")</f>
        <v/>
      </c>
      <c r="U21" s="20" t="str">
        <f>IF(ISBLANK(Tableau1[[#This Row],[Profil]]),"",CONCATENATE("&lt;span class=""profil""&gt;Profil ",Tableau1[[#This Row],[Profil]],"&lt;/span&gt;"))</f>
        <v/>
      </c>
      <c r="V21" s="20" t="str">
        <f>IF(Tableau1[[#This Row],[Innée ?]],"&lt;span class=""innee""&gt;Action innée&lt;/span&gt;","")</f>
        <v>&lt;span class="innee"&gt;Action innée&lt;/span&gt;</v>
      </c>
      <c r="W21" s="20" t="str">
        <f>IF(Tableau1[[#This Row],[Niveau]]&gt;0,CONCATENATE("&lt;span class=""apprentissage""&gt;Apprentissage : &lt;span&gt;",Tableau1[[#This Row],[Caractéristique]], " ",Tableau1[[#This Row],[Apprentissage]],"&lt;/span&gt;&lt;/span&gt;"),"")</f>
        <v/>
      </c>
      <c r="X21" s="20"/>
      <c r="Y21" s="20" t="str">
        <f>CONCATENATE("&lt;p&gt;Exécution : &lt;span&gt;", IF(Tableau1[[#This Row],[Exécution]]&gt;0,Tableau1[[#This Row],[Exécution]],"-"), "&lt;/span&gt;&lt;/p&gt;")</f>
        <v>&lt;p&gt;Exécution : &lt;span&gt;-&lt;/span&gt;&lt;/p&gt;</v>
      </c>
      <c r="Z21" s="20" t="str">
        <f>CONCATENATE("&lt;p&gt;Souffle : &lt;span class=""jauge""&gt;", IF(Tableau1[[#This Row],[Souffle]]&gt;0,Tableau1[[#This Row],[Souffle]],"-"), "&lt;/span&gt;&lt;/p&gt;")</f>
        <v>&lt;p&gt;Souffle : &lt;span class="jauge"&gt;-&lt;/span&gt;&lt;/p&gt;</v>
      </c>
      <c r="AA21" s="20" t="str">
        <f>CONCATENATE("&lt;p&gt;Concentration : &lt;span class=""jauge""&gt;",IF(Tableau1[[#This Row],[Concentration]]&gt;0,Tableau1[[#This Row],[Concentration]],"-"), "&lt;/span&gt;&lt;/p&gt;")</f>
        <v>&lt;p&gt;Concentration : &lt;span class="jauge"&gt;-&lt;/span&gt;&lt;/p&gt;</v>
      </c>
      <c r="AB21" s="20" t="str">
        <f>IF(Tableau1[[#This Row],[Adrénaline]]&gt;0,CONCATENATE("&lt;p&gt;Adrénaline : &lt;span class=""jauge""&gt;", Tableau1[[#This Row],[Adrénaline]], "&lt;/span&gt;&lt;/p&gt;"),"")</f>
        <v/>
      </c>
      <c r="AC21" s="20"/>
      <c r="AD21" s="20" t="str">
        <f>CONCATENATE("&lt;div class=""effets""&gt;",Tableau1[[#This Row],[Effets]],"&lt;/div&gt;")</f>
        <v>&lt;div class="effets"&gt;&lt;/div&gt;</v>
      </c>
      <c r="AE21" s="20"/>
      <c r="AF21" s="20" t="str">
        <f>CONCATENATE(Tableau1[[#This Row],[HTML_prefix]],Tableau1[[#This Row],[HTML_nom]],Tableau1[[#This Row],[HTML_specs_prefix]],Tableau1[[#This Row],[HTML_passif]],Tableau1[[#This Row],[HTML_profil]],Tableau1[[#This Row],[HTML_innée]],Tableau1[[#This Row],[HTML_apprentissage]],Tableau1[[#This Row],[HTML_specs_col]],Tableau1[[#This Row],[HTML_Execution]],Tableau1[[#This Row],[HTML_Souffle]],Tableau1[[#This Row],[HTML_Concentration]],Tableau1[[#This Row],[HTML_Adrénaline]],Tableau1[[#This Row],[HTML_specs_suffix]],Tableau1[[#This Row],[HTML_effets]],Tableau1[[#This Row],[HTML_suffix]])</f>
        <v>&lt;h4 class="nom"&gt;&lt;/h4&gt;&lt;span class="innee"&gt;Action innée&lt;/span&gt;&lt;p&gt;Exécution : &lt;span&gt;-&lt;/span&gt;&lt;/p&gt;&lt;p&gt;Souffle : &lt;span class="jauge"&gt;-&lt;/span&gt;&lt;/p&gt;&lt;p&gt;Concentration : &lt;span class="jauge"&gt;-&lt;/span&gt;&lt;/p&gt;&lt;div class="effets"&gt;&lt;/div&gt;</v>
      </c>
      <c r="AG21" s="21" t="str">
        <f>IF(ISBLANK(Tableau1[[#This Row],[Nom]]),"",IF(B21&lt;&gt;B20,CONCATENATE("&lt;/div&gt;&lt;div class=""voie ",Tableau1[[#This Row],[Caractéristique]],"""&gt;&lt;h3&gt;",Tableau1[[#This Row],[Voie]],"&lt;/h3&gt;",Tableau1[[#This Row],[HTML_ligne]]),Tableau1[[#This Row],[HTML_ligne]]))</f>
        <v/>
      </c>
    </row>
    <row r="22" spans="1:33" ht="45" x14ac:dyDescent="0.25">
      <c r="A22" s="12">
        <v>4</v>
      </c>
      <c r="B22" s="3" t="s">
        <v>18</v>
      </c>
      <c r="C22" s="10">
        <v>4</v>
      </c>
      <c r="D22" s="3" t="s">
        <v>72</v>
      </c>
      <c r="E22" s="4">
        <f>IFERROR(VLOOKUP(Tableau1[[#This Row],[Niveau]],Tableau2[],2,FALSE),"")</f>
        <v>25</v>
      </c>
      <c r="F22" s="3" t="s">
        <v>57</v>
      </c>
      <c r="G22" s="10">
        <v>6</v>
      </c>
      <c r="H22" s="10">
        <v>2</v>
      </c>
      <c r="L22" s="10" t="b">
        <v>1</v>
      </c>
      <c r="M22" s="25" t="s">
        <v>35</v>
      </c>
      <c r="N22" s="4" t="b">
        <f>IF(Tableau1[[#This Row],[Niveau]]=0,TRUE,FALSE)</f>
        <v>0</v>
      </c>
      <c r="O22" s="5" t="s">
        <v>73</v>
      </c>
      <c r="P22" s="3"/>
      <c r="Q22" s="6" t="s">
        <v>65</v>
      </c>
      <c r="R22" s="6" t="str">
        <f>CONCATENATE("&lt;h4 class=""nom""&gt;",Tableau1[[#This Row],[Nom]],"&lt;/h4&gt;")</f>
        <v>&lt;h4 class="nom"&gt;Enchainement&lt;/h4&gt;</v>
      </c>
      <c r="S22" s="6" t="s">
        <v>66</v>
      </c>
      <c r="T22" s="6" t="str">
        <f>IF(Tableau1[[#This Row],[Passif ?]],"&lt;span class=""passive""&gt;Action passive&lt;/span&gt;","")</f>
        <v/>
      </c>
      <c r="U22" s="6" t="str">
        <f>IF(ISBLANK(Tableau1[[#This Row],[Profil]]),"",CONCATENATE("&lt;span class=""profil""&gt;Profil ",Tableau1[[#This Row],[Profil]],"&lt;/span&gt;"))</f>
        <v>&lt;span class="profil"&gt;Profil Rapide&lt;/span&gt;</v>
      </c>
      <c r="V22" s="6" t="str">
        <f>IF(Tableau1[[#This Row],[Innée ?]],"&lt;span class=""innee""&gt;Action innée&lt;/span&gt;","")</f>
        <v/>
      </c>
      <c r="W22" s="6" t="str">
        <f>IF(Tableau1[[#This Row],[Niveau]]&gt;0,CONCATENATE("&lt;span class=""apprentissage""&gt;Apprentissage : &lt;span&gt;",Tableau1[[#This Row],[Caractéristique]], " ",Tableau1[[#This Row],[Apprentissage]],"&lt;/span&gt;&lt;/span&gt;"),"")</f>
        <v>&lt;span class="apprentissage"&gt;Apprentissage : &lt;span&gt;Vivacité 25&lt;/span&gt;&lt;/span&gt;</v>
      </c>
      <c r="X22" s="6" t="s">
        <v>67</v>
      </c>
      <c r="Y22" s="6" t="str">
        <f>CONCATENATE("&lt;p&gt;Exécution : &lt;span&gt;", IF(Tableau1[[#This Row],[Exécution]]&gt;0,Tableau1[[#This Row],[Exécution]],"-"), "&lt;/span&gt;&lt;/p&gt;")</f>
        <v>&lt;p&gt;Exécution : &lt;span&gt;6&lt;/span&gt;&lt;/p&gt;</v>
      </c>
      <c r="Z22" s="6" t="str">
        <f>CONCATENATE("&lt;p&gt;Souffle : &lt;span class=""jauge""&gt;", IF(Tableau1[[#This Row],[Souffle]]&gt;0,Tableau1[[#This Row],[Souffle]],"-"), "&lt;/span&gt;&lt;/p&gt;")</f>
        <v>&lt;p&gt;Souffle : &lt;span class="jauge"&gt;2&lt;/span&gt;&lt;/p&gt;</v>
      </c>
      <c r="AA22" s="6" t="str">
        <f>CONCATENATE("&lt;p&gt;Concentration : &lt;span class=""jauge""&gt;",IF(Tableau1[[#This Row],[Concentration]]&gt;0,Tableau1[[#This Row],[Concentration]],"-"), "&lt;/span&gt;&lt;/p&gt;")</f>
        <v>&lt;p&gt;Concentration : &lt;span class="jauge"&gt;-&lt;/span&gt;&lt;/p&gt;</v>
      </c>
      <c r="AB22" s="6" t="str">
        <f>IF(Tableau1[[#This Row],[Adrénaline]]&gt;0,CONCATENATE("&lt;p&gt;Adrénaline : &lt;span class=""jauge""&gt;", Tableau1[[#This Row],[Adrénaline]], "&lt;/span&gt;&lt;/p&gt;"),"")</f>
        <v/>
      </c>
      <c r="AC22" s="6" t="s">
        <v>50</v>
      </c>
      <c r="AD22" s="6" t="str">
        <f>CONCATENATE("&lt;div class=""effets""&gt;",Tableau1[[#This Row],[Effets]],"&lt;/div&gt;")</f>
        <v>&lt;div class="effets"&gt;Le personnage annonce le nombre d'attaque qu'il va tenter. Ce nombre étant compris entre 1 et 4. Ces attaques peuvent être réparties entre n'importe quelles cibles à portée. Chaque attaque subit un malus à l'attaque de -3 par attaque tentée (c’est-à-dire que s'il tente 3 attaques enchainées, chaque attaque subira un malus de -9). Dès qu'une attaque est échouée, l'enchainement s'arrête.&lt;/div&gt;</v>
      </c>
      <c r="AE22" s="6" t="s">
        <v>64</v>
      </c>
      <c r="AF22" s="6" t="str">
        <f>CONCATENATE(Tableau1[[#This Row],[HTML_prefix]],Tableau1[[#This Row],[HTML_nom]],Tableau1[[#This Row],[HTML_specs_prefix]],Tableau1[[#This Row],[HTML_passif]],Tableau1[[#This Row],[HTML_profil]],Tableau1[[#This Row],[HTML_innée]],Tableau1[[#This Row],[HTML_apprentissage]],Tableau1[[#This Row],[HTML_specs_col]],Tableau1[[#This Row],[HTML_Execution]],Tableau1[[#This Row],[HTML_Souffle]],Tableau1[[#This Row],[HTML_Concentration]],Tableau1[[#This Row],[HTML_Adrénaline]],Tableau1[[#This Row],[HTML_specs_suffix]],Tableau1[[#This Row],[HTML_effets]],Tableau1[[#This Row],[HTML_suffix]])</f>
        <v>&lt;div class="comp"&gt;&lt;h4 class="nom"&gt;Enchainement&lt;/h4&gt;&lt;table class="spec"&gt;&lt;tr&gt;&lt;td class="left"&gt;&lt;span class="profil"&gt;Profil Rapide&lt;/span&gt;&lt;span class="apprentissage"&gt;Apprentissage : &lt;span&gt;Vivacité 25&lt;/span&gt;&lt;/span&gt;&lt;/td&gt;&lt;td class="right"&gt;&lt;p&gt;Exécution : &lt;span&gt;6&lt;/span&gt;&lt;/p&gt;&lt;p&gt;Souffle : &lt;span class="jauge"&gt;2&lt;/span&gt;&lt;/p&gt;&lt;p&gt;Concentration : &lt;span class="jauge"&gt;-&lt;/span&gt;&lt;/p&gt;&lt;/td&gt;&lt;/tr&gt;&lt;/table class=""spec""&gt;&lt;div class="effets"&gt;Le personnage annonce le nombre d'attaque qu'il va tenter. Ce nombre étant compris entre 1 et 4. Ces attaques peuvent être réparties entre n'importe quelles cibles à portée. Chaque attaque subit un malus à l'attaque de -3 par attaque tentée (c’est-à-dire que s'il tente 3 attaques enchainées, chaque attaque subira un malus de -9). Dès qu'une attaque est échouée, l'enchainement s'arrête.&lt;/div&gt;&lt;/div&gt;</v>
      </c>
      <c r="AG22" s="8" t="str">
        <f>IF(ISBLANK(Tableau1[[#This Row],[Nom]]),"",IF(B22&lt;&gt;B20,CONCATENATE("&lt;/div&gt;&lt;div class=""voie ",Tableau1[[#This Row],[Caractéristique]],"""&gt;&lt;h3&gt;",Tableau1[[#This Row],[Voie]],"&lt;/h3&gt;",Tableau1[[#This Row],[HTML_ligne]]),Tableau1[[#This Row],[HTML_ligne]]))</f>
        <v>&lt;div class="comp"&gt;&lt;h4 class="nom"&gt;Enchainement&lt;/h4&gt;&lt;table class="spec"&gt;&lt;tr&gt;&lt;td class="left"&gt;&lt;span class="profil"&gt;Profil Rapide&lt;/span&gt;&lt;span class="apprentissage"&gt;Apprentissage : &lt;span&gt;Vivacité 25&lt;/span&gt;&lt;/span&gt;&lt;/td&gt;&lt;td class="right"&gt;&lt;p&gt;Exécution : &lt;span&gt;6&lt;/span&gt;&lt;/p&gt;&lt;p&gt;Souffle : &lt;span class="jauge"&gt;2&lt;/span&gt;&lt;/p&gt;&lt;p&gt;Concentration : &lt;span class="jauge"&gt;-&lt;/span&gt;&lt;/p&gt;&lt;/td&gt;&lt;/tr&gt;&lt;/table class=""spec""&gt;&lt;div class="effets"&gt;Le personnage annonce le nombre d'attaque qu'il va tenter. Ce nombre étant compris entre 1 et 4. Ces attaques peuvent être réparties entre n'importe quelles cibles à portée. Chaque attaque subit un malus à l'attaque de -3 par attaque tentée (c’est-à-dire que s'il tente 3 attaques enchainées, chaque attaque subira un malus de -9). Dès qu'une attaque est échouée, l'enchainement s'arrête.&lt;/div&gt;&lt;/div&gt;</v>
      </c>
    </row>
    <row r="23" spans="1:33" ht="180" x14ac:dyDescent="0.25">
      <c r="A23" s="12">
        <v>5</v>
      </c>
      <c r="B23" s="3" t="s">
        <v>109</v>
      </c>
      <c r="C23" s="10">
        <v>0</v>
      </c>
      <c r="D23" s="3" t="s">
        <v>110</v>
      </c>
      <c r="E23" s="4">
        <f>IFERROR(VLOOKUP(Tableau1[[#This Row],[Niveau]],Tableau2[],2,FALSE),"")</f>
        <v>0</v>
      </c>
      <c r="F23" s="3" t="s">
        <v>59</v>
      </c>
      <c r="K23" s="10" t="b">
        <v>1</v>
      </c>
      <c r="N23" s="4" t="b">
        <f>IF(Tableau1[[#This Row],[Niveau]]=0,TRUE,FALSE)</f>
        <v>1</v>
      </c>
      <c r="O23" s="5" t="s">
        <v>194</v>
      </c>
      <c r="P23" s="3"/>
      <c r="Q23" s="6" t="s">
        <v>65</v>
      </c>
      <c r="R23" s="6" t="str">
        <f>CONCATENATE("&lt;h4 class=""nom""&gt;",Tableau1[[#This Row],[Nom]],"&lt;/h4&gt;")</f>
        <v>&lt;h4 class="nom"&gt;Encaisser un coup&lt;/h4&gt;</v>
      </c>
      <c r="S23" s="6" t="s">
        <v>66</v>
      </c>
      <c r="T23" s="6" t="str">
        <f>IF(Tableau1[[#This Row],[Passif ?]],"&lt;span class=""passive""&gt;Action passive&lt;/span&gt;","")</f>
        <v>&lt;span class="passive"&gt;Action passive&lt;/span&gt;</v>
      </c>
      <c r="U23" s="6" t="str">
        <f>IF(ISBLANK(Tableau1[[#This Row],[Profil]]),"",CONCATENATE("&lt;span class=""profil""&gt;Profil ",Tableau1[[#This Row],[Profil]],"&lt;/span&gt;"))</f>
        <v/>
      </c>
      <c r="V23" s="6" t="str">
        <f>IF(Tableau1[[#This Row],[Innée ?]],"&lt;span class=""innee""&gt;Action innée&lt;/span&gt;","")</f>
        <v>&lt;span class="innee"&gt;Action innée&lt;/span&gt;</v>
      </c>
      <c r="W23" s="6" t="str">
        <f>IF(Tableau1[[#This Row],[Niveau]]&gt;0,CONCATENATE("&lt;span class=""apprentissage""&gt;Apprentissage : &lt;span&gt;",Tableau1[[#This Row],[Caractéristique]], " ",Tableau1[[#This Row],[Apprentissage]],"&lt;/span&gt;&lt;/span&gt;"),"")</f>
        <v/>
      </c>
      <c r="X23" s="6" t="s">
        <v>67</v>
      </c>
      <c r="Y23" s="6" t="str">
        <f>CONCATENATE("&lt;p&gt;Exécution : &lt;span&gt;", IF(Tableau1[[#This Row],[Exécution]]&gt;0,Tableau1[[#This Row],[Exécution]],"-"), "&lt;/span&gt;&lt;/p&gt;")</f>
        <v>&lt;p&gt;Exécution : &lt;span&gt;-&lt;/span&gt;&lt;/p&gt;</v>
      </c>
      <c r="Z23" s="6" t="str">
        <f>CONCATENATE("&lt;p&gt;Souffle : &lt;span class=""jauge""&gt;", IF(Tableau1[[#This Row],[Souffle]]&gt;0,Tableau1[[#This Row],[Souffle]],"-"), "&lt;/span&gt;&lt;/p&gt;")</f>
        <v>&lt;p&gt;Souffle : &lt;span class="jauge"&gt;-&lt;/span&gt;&lt;/p&gt;</v>
      </c>
      <c r="AA23" s="6" t="str">
        <f>CONCATENATE("&lt;p&gt;Concentration : &lt;span class=""jauge""&gt;",IF(Tableau1[[#This Row],[Concentration]]&gt;0,Tableau1[[#This Row],[Concentration]],"-"), "&lt;/span&gt;&lt;/p&gt;")</f>
        <v>&lt;p&gt;Concentration : &lt;span class="jauge"&gt;-&lt;/span&gt;&lt;/p&gt;</v>
      </c>
      <c r="AB23" s="6" t="str">
        <f>IF(Tableau1[[#This Row],[Adrénaline]]&gt;0,CONCATENATE("&lt;p&gt;Adrénaline : &lt;span class=""jauge""&gt;", Tableau1[[#This Row],[Adrénaline]], "&lt;/span&gt;&lt;/p&gt;"),"")</f>
        <v/>
      </c>
      <c r="AC23" s="6" t="s">
        <v>50</v>
      </c>
      <c r="AD23" s="6" t="str">
        <f>CONCATENATE("&lt;div class=""effets""&gt;",Tableau1[[#This Row],[Effets]],"&lt;/div&gt;")</f>
        <v>&lt;div class="effets"&gt;Lorsqu’il subit une attaque ciblée (coup, projectile, ...) celle-ci atteint une zone précise selon le schéma de localisation. Pour déterminer cette zone, lancer un dé à 12 faces et référez vous au tableau suivant (illustration dans la section Equipement – Armures). 
    &lt;br /&gt;
    &lt;table class="tab_reset stab1"&gt;
     &lt;tr&gt;&lt;th&gt;Zone&lt;/th&gt;&lt;th&gt;Nom&lt;/th&gt;&lt;/tr&gt;
     &lt;tr&gt;&lt;td&gt;1&lt;/td&gt;&lt;td&gt;Tête&lt;/td&gt;&lt;/tr&gt;
     &lt;tr&gt;&lt;td&gt;2,&amp;nbsp;3,&amp;nbsp;6&lt;/td&gt;&lt;td&gt;Buste&lt;/td&gt;&lt;/tr&gt;
     &lt;tr&gt;&lt;td&gt;4,&amp;nbsp;7&lt;/td&gt;&lt;td&gt;Bras gauche&lt;/td&gt;&lt;/tr&gt;
     &lt;tr&gt;&lt;td&gt;5,&amp;nbsp;8&lt;/td&gt;&lt;td&gt;Bras droit&lt;/td&gt;&lt;/tr&gt;  
     &lt;tr&gt;&lt;td&gt;9,&amp;nbsp;11&lt;/td&gt;&lt;td&gt;Jambe gauche&lt;/td&gt;&lt;/tr&gt;
     &lt;tr&gt;&lt;td&gt;10,&amp;nbsp;12&lt;/td&gt;&lt;td&gt;Jambe droite&lt;/td&gt;&lt;/tr&gt;
    &lt;/table&gt;&lt;/div&gt;</v>
      </c>
      <c r="AE23" s="6" t="s">
        <v>64</v>
      </c>
      <c r="AF23" s="6" t="str">
        <f>CONCATENATE(Tableau1[[#This Row],[HTML_prefix]],Tableau1[[#This Row],[HTML_nom]],Tableau1[[#This Row],[HTML_specs_prefix]],Tableau1[[#This Row],[HTML_passif]],Tableau1[[#This Row],[HTML_profil]],Tableau1[[#This Row],[HTML_innée]],Tableau1[[#This Row],[HTML_apprentissage]],Tableau1[[#This Row],[HTML_specs_col]],Tableau1[[#This Row],[HTML_Execution]],Tableau1[[#This Row],[HTML_Souffle]],Tableau1[[#This Row],[HTML_Concentration]],Tableau1[[#This Row],[HTML_Adrénaline]],Tableau1[[#This Row],[HTML_specs_suffix]],Tableau1[[#This Row],[HTML_effets]],Tableau1[[#This Row],[HTML_suffix]])</f>
        <v>&lt;div class="comp"&gt;&lt;h4 class="nom"&gt;Encaisser un coup&lt;/h4&gt;&lt;table class="spec"&gt;&lt;tr&gt;&lt;td class="left"&gt;&lt;span class="passive"&gt;Action passive&lt;/span&gt;&lt;span class="innee"&gt;Action innée&lt;/span&gt;&lt;/td&gt;&lt;td class="right"&gt;&lt;p&gt;Exécution : &lt;span&gt;-&lt;/span&gt;&lt;/p&gt;&lt;p&gt;Souffle : &lt;span class="jauge"&gt;-&lt;/span&gt;&lt;/p&gt;&lt;p&gt;Concentration : &lt;span class="jauge"&gt;-&lt;/span&gt;&lt;/p&gt;&lt;/td&gt;&lt;/tr&gt;&lt;/table class=""spec""&gt;&lt;div class="effets"&gt;Lorsqu’il subit une attaque ciblée (coup, projectile, ...) celle-ci atteint une zone précise selon le schéma de localisation. Pour déterminer cette zone, lancer un dé à 12 faces et référez vous au tableau suivant (illustration dans la section Equipement – Armures). 
    &lt;br /&gt;
    &lt;table class="tab_reset stab1"&gt;
     &lt;tr&gt;&lt;th&gt;Zone&lt;/th&gt;&lt;th&gt;Nom&lt;/th&gt;&lt;/tr&gt;
     &lt;tr&gt;&lt;td&gt;1&lt;/td&gt;&lt;td&gt;Tête&lt;/td&gt;&lt;/tr&gt;
     &lt;tr&gt;&lt;td&gt;2,&amp;nbsp;3,&amp;nbsp;6&lt;/td&gt;&lt;td&gt;Buste&lt;/td&gt;&lt;/tr&gt;
     &lt;tr&gt;&lt;td&gt;4,&amp;nbsp;7&lt;/td&gt;&lt;td&gt;Bras gauche&lt;/td&gt;&lt;/tr&gt;
     &lt;tr&gt;&lt;td&gt;5,&amp;nbsp;8&lt;/td&gt;&lt;td&gt;Bras droit&lt;/td&gt;&lt;/tr&gt;  
     &lt;tr&gt;&lt;td&gt;9,&amp;nbsp;11&lt;/td&gt;&lt;td&gt;Jambe gauche&lt;/td&gt;&lt;/tr&gt;
     &lt;tr&gt;&lt;td&gt;10,&amp;nbsp;12&lt;/td&gt;&lt;td&gt;Jambe droite&lt;/td&gt;&lt;/tr&gt;
    &lt;/table&gt;&lt;/div&gt;&lt;/div&gt;</v>
      </c>
      <c r="AG23" s="8" t="str">
        <f>IF(ISBLANK(Tableau1[[#This Row],[Nom]]),"",IF(B23&lt;&gt;B22,CONCATENATE("&lt;/div&gt;&lt;div class=""voie ",Tableau1[[#This Row],[Caractéristique]],"""&gt;&lt;h3&gt;",Tableau1[[#This Row],[Voie]],"&lt;/h3&gt;",Tableau1[[#This Row],[HTML_ligne]]),Tableau1[[#This Row],[HTML_ligne]]))</f>
        <v>&lt;/div&gt;&lt;div class="voie Vigueur"&gt;&lt;h3&gt;Robustesse&lt;/h3&gt;&lt;div class="comp"&gt;&lt;h4 class="nom"&gt;Encaisser un coup&lt;/h4&gt;&lt;table class="spec"&gt;&lt;tr&gt;&lt;td class="left"&gt;&lt;span class="passive"&gt;Action passive&lt;/span&gt;&lt;span class="innee"&gt;Action innée&lt;/span&gt;&lt;/td&gt;&lt;td class="right"&gt;&lt;p&gt;Exécution : &lt;span&gt;-&lt;/span&gt;&lt;/p&gt;&lt;p&gt;Souffle : &lt;span class="jauge"&gt;-&lt;/span&gt;&lt;/p&gt;&lt;p&gt;Concentration : &lt;span class="jauge"&gt;-&lt;/span&gt;&lt;/p&gt;&lt;/td&gt;&lt;/tr&gt;&lt;/table class=""spec""&gt;&lt;div class="effets"&gt;Lorsqu’il subit une attaque ciblée (coup, projectile, ...) celle-ci atteint une zone précise selon le schéma de localisation. Pour déterminer cette zone, lancer un dé à 12 faces et référez vous au tableau suivant (illustration dans la section Equipement – Armures). 
    &lt;br /&gt;
    &lt;table class="tab_reset stab1"&gt;
     &lt;tr&gt;&lt;th&gt;Zone&lt;/th&gt;&lt;th&gt;Nom&lt;/th&gt;&lt;/tr&gt;
     &lt;tr&gt;&lt;td&gt;1&lt;/td&gt;&lt;td&gt;Tête&lt;/td&gt;&lt;/tr&gt;
     &lt;tr&gt;&lt;td&gt;2,&amp;nbsp;3,&amp;nbsp;6&lt;/td&gt;&lt;td&gt;Buste&lt;/td&gt;&lt;/tr&gt;
     &lt;tr&gt;&lt;td&gt;4,&amp;nbsp;7&lt;/td&gt;&lt;td&gt;Bras gauche&lt;/td&gt;&lt;/tr&gt;
     &lt;tr&gt;&lt;td&gt;5,&amp;nbsp;8&lt;/td&gt;&lt;td&gt;Bras droit&lt;/td&gt;&lt;/tr&gt;  
     &lt;tr&gt;&lt;td&gt;9,&amp;nbsp;11&lt;/td&gt;&lt;td&gt;Jambe gauche&lt;/td&gt;&lt;/tr&gt;
     &lt;tr&gt;&lt;td&gt;10,&amp;nbsp;12&lt;/td&gt;&lt;td&gt;Jambe droite&lt;/td&gt;&lt;/tr&gt;
    &lt;/table&gt;&lt;/div&gt;&lt;/div&gt;</v>
      </c>
    </row>
    <row r="24" spans="1:33" x14ac:dyDescent="0.25">
      <c r="A24" s="12">
        <v>5</v>
      </c>
      <c r="B24" s="3" t="s">
        <v>109</v>
      </c>
      <c r="C24" s="10">
        <v>1</v>
      </c>
      <c r="D24" s="3" t="s">
        <v>111</v>
      </c>
      <c r="E24" s="4">
        <f>IFERROR(VLOOKUP(Tableau1[[#This Row],[Niveau]],Tableau2[],2,FALSE),"")</f>
        <v>10</v>
      </c>
      <c r="F24" s="3" t="s">
        <v>59</v>
      </c>
      <c r="K24" s="10" t="b">
        <v>1</v>
      </c>
      <c r="N24" s="4" t="b">
        <f>IF(Tableau1[[#This Row],[Niveau]]=0,TRUE,FALSE)</f>
        <v>0</v>
      </c>
      <c r="O24" s="5" t="s">
        <v>112</v>
      </c>
      <c r="P24" s="3"/>
      <c r="Q24" s="6" t="s">
        <v>65</v>
      </c>
      <c r="R24" s="6" t="str">
        <f>CONCATENATE("&lt;h4 class=""nom""&gt;",Tableau1[[#This Row],[Nom]],"&lt;/h4&gt;")</f>
        <v>&lt;h4 class="nom"&gt;Cicatrisation hors norme&lt;/h4&gt;</v>
      </c>
      <c r="S24" s="6" t="s">
        <v>66</v>
      </c>
      <c r="T24" s="6" t="str">
        <f>IF(Tableau1[[#This Row],[Passif ?]],"&lt;span class=""passive""&gt;Action passive&lt;/span&gt;","")</f>
        <v>&lt;span class="passive"&gt;Action passive&lt;/span&gt;</v>
      </c>
      <c r="U24" s="6" t="str">
        <f>IF(ISBLANK(Tableau1[[#This Row],[Profil]]),"",CONCATENATE("&lt;span class=""profil""&gt;Profil ",Tableau1[[#This Row],[Profil]],"&lt;/span&gt;"))</f>
        <v/>
      </c>
      <c r="V24" s="6" t="str">
        <f>IF(Tableau1[[#This Row],[Innée ?]],"&lt;span class=""innee""&gt;Action innée&lt;/span&gt;","")</f>
        <v/>
      </c>
      <c r="W24" s="6" t="str">
        <f>IF(Tableau1[[#This Row],[Niveau]]&gt;0,CONCATENATE("&lt;span class=""apprentissage""&gt;Apprentissage : &lt;span&gt;",Tableau1[[#This Row],[Caractéristique]], " ",Tableau1[[#This Row],[Apprentissage]],"&lt;/span&gt;&lt;/span&gt;"),"")</f>
        <v>&lt;span class="apprentissage"&gt;Apprentissage : &lt;span&gt;Vigueur 10&lt;/span&gt;&lt;/span&gt;</v>
      </c>
      <c r="X24" s="6" t="s">
        <v>67</v>
      </c>
      <c r="Y24" s="6" t="str">
        <f>CONCATENATE("&lt;p&gt;Exécution : &lt;span&gt;", IF(Tableau1[[#This Row],[Exécution]]&gt;0,Tableau1[[#This Row],[Exécution]],"-"), "&lt;/span&gt;&lt;/p&gt;")</f>
        <v>&lt;p&gt;Exécution : &lt;span&gt;-&lt;/span&gt;&lt;/p&gt;</v>
      </c>
      <c r="Z24" s="6" t="str">
        <f>CONCATENATE("&lt;p&gt;Souffle : &lt;span class=""jauge""&gt;", IF(Tableau1[[#This Row],[Souffle]]&gt;0,Tableau1[[#This Row],[Souffle]],"-"), "&lt;/span&gt;&lt;/p&gt;")</f>
        <v>&lt;p&gt;Souffle : &lt;span class="jauge"&gt;-&lt;/span&gt;&lt;/p&gt;</v>
      </c>
      <c r="AA24" s="6" t="str">
        <f>CONCATENATE("&lt;p&gt;Concentration : &lt;span class=""jauge""&gt;",IF(Tableau1[[#This Row],[Concentration]]&gt;0,Tableau1[[#This Row],[Concentration]],"-"), "&lt;/span&gt;&lt;/p&gt;")</f>
        <v>&lt;p&gt;Concentration : &lt;span class="jauge"&gt;-&lt;/span&gt;&lt;/p&gt;</v>
      </c>
      <c r="AB24" s="6" t="str">
        <f>IF(Tableau1[[#This Row],[Adrénaline]]&gt;0,CONCATENATE("&lt;p&gt;Adrénaline : &lt;span class=""jauge""&gt;", Tableau1[[#This Row],[Adrénaline]], "&lt;/span&gt;&lt;/p&gt;"),"")</f>
        <v/>
      </c>
      <c r="AC24" s="6" t="s">
        <v>50</v>
      </c>
      <c r="AD24" s="6" t="str">
        <f>CONCATENATE("&lt;div class=""effets""&gt;",Tableau1[[#This Row],[Effets]],"&lt;/div&gt;")</f>
        <v>&lt;div class="effets"&gt;Le personnage retire 1D3 blessures superficielles à la fin d'un combat.&lt;/div&gt;</v>
      </c>
      <c r="AE24" s="6" t="s">
        <v>64</v>
      </c>
      <c r="AF24" s="6" t="str">
        <f>CONCATENATE(Tableau1[[#This Row],[HTML_prefix]],Tableau1[[#This Row],[HTML_nom]],Tableau1[[#This Row],[HTML_specs_prefix]],Tableau1[[#This Row],[HTML_passif]],Tableau1[[#This Row],[HTML_profil]],Tableau1[[#This Row],[HTML_innée]],Tableau1[[#This Row],[HTML_apprentissage]],Tableau1[[#This Row],[HTML_specs_col]],Tableau1[[#This Row],[HTML_Execution]],Tableau1[[#This Row],[HTML_Souffle]],Tableau1[[#This Row],[HTML_Concentration]],Tableau1[[#This Row],[HTML_Adrénaline]],Tableau1[[#This Row],[HTML_specs_suffix]],Tableau1[[#This Row],[HTML_effets]],Tableau1[[#This Row],[HTML_suffix]])</f>
        <v>&lt;div class="comp"&gt;&lt;h4 class="nom"&gt;Cicatrisation hors norme&lt;/h4&gt;&lt;table class="spec"&gt;&lt;tr&gt;&lt;td class="left"&gt;&lt;span class="passive"&gt;Action passive&lt;/span&gt;&lt;span class="apprentissage"&gt;Apprentissage : &lt;span&gt;Vigueur 10&lt;/span&gt;&lt;/span&gt;&lt;/td&gt;&lt;td class="right"&gt;&lt;p&gt;Exécution : &lt;span&gt;-&lt;/span&gt;&lt;/p&gt;&lt;p&gt;Souffle : &lt;span class="jauge"&gt;-&lt;/span&gt;&lt;/p&gt;&lt;p&gt;Concentration : &lt;span class="jauge"&gt;-&lt;/span&gt;&lt;/p&gt;&lt;/td&gt;&lt;/tr&gt;&lt;/table class=""spec""&gt;&lt;div class="effets"&gt;Le personnage retire 1D3 blessures superficielles à la fin d'un combat.&lt;/div&gt;&lt;/div&gt;</v>
      </c>
      <c r="AG24" s="8" t="str">
        <f>IF(ISBLANK(Tableau1[[#This Row],[Nom]]),"",IF(B24&lt;&gt;B23,CONCATENATE("&lt;/div&gt;&lt;div class=""voie ",Tableau1[[#This Row],[Caractéristique]],"""&gt;&lt;h3&gt;",Tableau1[[#This Row],[Voie]],"&lt;/h3&gt;",Tableau1[[#This Row],[HTML_ligne]]),Tableau1[[#This Row],[HTML_ligne]]))</f>
        <v>&lt;div class="comp"&gt;&lt;h4 class="nom"&gt;Cicatrisation hors norme&lt;/h4&gt;&lt;table class="spec"&gt;&lt;tr&gt;&lt;td class="left"&gt;&lt;span class="passive"&gt;Action passive&lt;/span&gt;&lt;span class="apprentissage"&gt;Apprentissage : &lt;span&gt;Vigueur 10&lt;/span&gt;&lt;/span&gt;&lt;/td&gt;&lt;td class="right"&gt;&lt;p&gt;Exécution : &lt;span&gt;-&lt;/span&gt;&lt;/p&gt;&lt;p&gt;Souffle : &lt;span class="jauge"&gt;-&lt;/span&gt;&lt;/p&gt;&lt;p&gt;Concentration : &lt;span class="jauge"&gt;-&lt;/span&gt;&lt;/p&gt;&lt;/td&gt;&lt;/tr&gt;&lt;/table class=""spec""&gt;&lt;div class="effets"&gt;Le personnage retire 1D3 blessures superficielles à la fin d'un combat.&lt;/div&gt;&lt;/div&gt;</v>
      </c>
    </row>
    <row r="25" spans="1:33" x14ac:dyDescent="0.25">
      <c r="A25" s="12">
        <v>5</v>
      </c>
      <c r="B25" s="3" t="s">
        <v>109</v>
      </c>
      <c r="C25" s="10">
        <v>1</v>
      </c>
      <c r="D25" s="3" t="s">
        <v>113</v>
      </c>
      <c r="E25" s="4">
        <f>IFERROR(VLOOKUP(Tableau1[[#This Row],[Niveau]],Tableau2[],2,FALSE),"")</f>
        <v>10</v>
      </c>
      <c r="F25" s="3" t="s">
        <v>59</v>
      </c>
      <c r="K25" s="10" t="b">
        <v>1</v>
      </c>
      <c r="N25" s="4" t="b">
        <f>IF(Tableau1[[#This Row],[Niveau]]=0,TRUE,FALSE)</f>
        <v>0</v>
      </c>
      <c r="O25" s="5" t="s">
        <v>114</v>
      </c>
      <c r="P25" s="3"/>
      <c r="Q25" s="6" t="s">
        <v>65</v>
      </c>
      <c r="R25" s="6" t="str">
        <f>CONCATENATE("&lt;h4 class=""nom""&gt;",Tableau1[[#This Row],[Nom]],"&lt;/h4&gt;")</f>
        <v>&lt;h4 class="nom"&gt;Dur à cuire&lt;/h4&gt;</v>
      </c>
      <c r="S25" s="6" t="s">
        <v>66</v>
      </c>
      <c r="T25" s="6" t="str">
        <f>IF(Tableau1[[#This Row],[Passif ?]],"&lt;span class=""passive""&gt;Action passive&lt;/span&gt;","")</f>
        <v>&lt;span class="passive"&gt;Action passive&lt;/span&gt;</v>
      </c>
      <c r="U25" s="6" t="str">
        <f>IF(ISBLANK(Tableau1[[#This Row],[Profil]]),"",CONCATENATE("&lt;span class=""profil""&gt;Profil ",Tableau1[[#This Row],[Profil]],"&lt;/span&gt;"))</f>
        <v/>
      </c>
      <c r="V25" s="6" t="str">
        <f>IF(Tableau1[[#This Row],[Innée ?]],"&lt;span class=""innee""&gt;Action innée&lt;/span&gt;","")</f>
        <v/>
      </c>
      <c r="W25" s="6" t="str">
        <f>IF(Tableau1[[#This Row],[Niveau]]&gt;0,CONCATENATE("&lt;span class=""apprentissage""&gt;Apprentissage : &lt;span&gt;",Tableau1[[#This Row],[Caractéristique]], " ",Tableau1[[#This Row],[Apprentissage]],"&lt;/span&gt;&lt;/span&gt;"),"")</f>
        <v>&lt;span class="apprentissage"&gt;Apprentissage : &lt;span&gt;Vigueur 10&lt;/span&gt;&lt;/span&gt;</v>
      </c>
      <c r="X25" s="6" t="s">
        <v>67</v>
      </c>
      <c r="Y25" s="6" t="str">
        <f>CONCATENATE("&lt;p&gt;Exécution : &lt;span&gt;", IF(Tableau1[[#This Row],[Exécution]]&gt;0,Tableau1[[#This Row],[Exécution]],"-"), "&lt;/span&gt;&lt;/p&gt;")</f>
        <v>&lt;p&gt;Exécution : &lt;span&gt;-&lt;/span&gt;&lt;/p&gt;</v>
      </c>
      <c r="Z25" s="6" t="str">
        <f>CONCATENATE("&lt;p&gt;Souffle : &lt;span class=""jauge""&gt;", IF(Tableau1[[#This Row],[Souffle]]&gt;0,Tableau1[[#This Row],[Souffle]],"-"), "&lt;/span&gt;&lt;/p&gt;")</f>
        <v>&lt;p&gt;Souffle : &lt;span class="jauge"&gt;-&lt;/span&gt;&lt;/p&gt;</v>
      </c>
      <c r="AA25" s="6" t="str">
        <f>CONCATENATE("&lt;p&gt;Concentration : &lt;span class=""jauge""&gt;",IF(Tableau1[[#This Row],[Concentration]]&gt;0,Tableau1[[#This Row],[Concentration]],"-"), "&lt;/span&gt;&lt;/p&gt;")</f>
        <v>&lt;p&gt;Concentration : &lt;span class="jauge"&gt;-&lt;/span&gt;&lt;/p&gt;</v>
      </c>
      <c r="AB25" s="6" t="str">
        <f>IF(Tableau1[[#This Row],[Adrénaline]]&gt;0,CONCATENATE("&lt;p&gt;Adrénaline : &lt;span class=""jauge""&gt;", Tableau1[[#This Row],[Adrénaline]], "&lt;/span&gt;&lt;/p&gt;"),"")</f>
        <v/>
      </c>
      <c r="AC25" s="6" t="s">
        <v>50</v>
      </c>
      <c r="AD25" s="6" t="str">
        <f>CONCATENATE("&lt;div class=""effets""&gt;",Tableau1[[#This Row],[Effets]],"&lt;/div&gt;")</f>
        <v>&lt;div class="effets"&gt;Le seuil de blessure critique est augmenté de +5.&lt;/div&gt;</v>
      </c>
      <c r="AE25" s="6" t="s">
        <v>64</v>
      </c>
      <c r="AF25" s="6" t="str">
        <f>CONCATENATE(Tableau1[[#This Row],[HTML_prefix]],Tableau1[[#This Row],[HTML_nom]],Tableau1[[#This Row],[HTML_specs_prefix]],Tableau1[[#This Row],[HTML_passif]],Tableau1[[#This Row],[HTML_profil]],Tableau1[[#This Row],[HTML_innée]],Tableau1[[#This Row],[HTML_apprentissage]],Tableau1[[#This Row],[HTML_specs_col]],Tableau1[[#This Row],[HTML_Execution]],Tableau1[[#This Row],[HTML_Souffle]],Tableau1[[#This Row],[HTML_Concentration]],Tableau1[[#This Row],[HTML_Adrénaline]],Tableau1[[#This Row],[HTML_specs_suffix]],Tableau1[[#This Row],[HTML_effets]],Tableau1[[#This Row],[HTML_suffix]])</f>
        <v>&lt;div class="comp"&gt;&lt;h4 class="nom"&gt;Dur à cuire&lt;/h4&gt;&lt;table class="spec"&gt;&lt;tr&gt;&lt;td class="left"&gt;&lt;span class="passive"&gt;Action passive&lt;/span&gt;&lt;span class="apprentissage"&gt;Apprentissage : &lt;span&gt;Vigueur 10&lt;/span&gt;&lt;/span&gt;&lt;/td&gt;&lt;td class="right"&gt;&lt;p&gt;Exécution : &lt;span&gt;-&lt;/span&gt;&lt;/p&gt;&lt;p&gt;Souffle : &lt;span class="jauge"&gt;-&lt;/span&gt;&lt;/p&gt;&lt;p&gt;Concentration : &lt;span class="jauge"&gt;-&lt;/span&gt;&lt;/p&gt;&lt;/td&gt;&lt;/tr&gt;&lt;/table class=""spec""&gt;&lt;div class="effets"&gt;Le seuil de blessure critique est augmenté de +5.&lt;/div&gt;&lt;/div&gt;</v>
      </c>
      <c r="AG25" s="8" t="str">
        <f>IF(ISBLANK(Tableau1[[#This Row],[Nom]]),"",IF(B25&lt;&gt;B24,CONCATENATE("&lt;/div&gt;&lt;div class=""voie ",Tableau1[[#This Row],[Caractéristique]],"""&gt;&lt;h3&gt;",Tableau1[[#This Row],[Voie]],"&lt;/h3&gt;",Tableau1[[#This Row],[HTML_ligne]]),Tableau1[[#This Row],[HTML_ligne]]))</f>
        <v>&lt;div class="comp"&gt;&lt;h4 class="nom"&gt;Dur à cuire&lt;/h4&gt;&lt;table class="spec"&gt;&lt;tr&gt;&lt;td class="left"&gt;&lt;span class="passive"&gt;Action passive&lt;/span&gt;&lt;span class="apprentissage"&gt;Apprentissage : &lt;span&gt;Vigueur 10&lt;/span&gt;&lt;/span&gt;&lt;/td&gt;&lt;td class="right"&gt;&lt;p&gt;Exécution : &lt;span&gt;-&lt;/span&gt;&lt;/p&gt;&lt;p&gt;Souffle : &lt;span class="jauge"&gt;-&lt;/span&gt;&lt;/p&gt;&lt;p&gt;Concentration : &lt;span class="jauge"&gt;-&lt;/span&gt;&lt;/p&gt;&lt;/td&gt;&lt;/tr&gt;&lt;/table class=""spec""&gt;&lt;div class="effets"&gt;Le seuil de blessure critique est augmenté de +5.&lt;/div&gt;&lt;/div&gt;</v>
      </c>
    </row>
    <row r="26" spans="1:33" s="13" customFormat="1" x14ac:dyDescent="0.25">
      <c r="A26" s="12">
        <v>5</v>
      </c>
      <c r="B26" s="3" t="s">
        <v>109</v>
      </c>
      <c r="C26" s="10">
        <v>2</v>
      </c>
      <c r="D26" s="3" t="s">
        <v>214</v>
      </c>
      <c r="E26" s="19">
        <f>IFERROR(VLOOKUP(Tableau1[[#This Row],[Niveau]],Tableau2[],2,FALSE),"")</f>
        <v>15</v>
      </c>
      <c r="F26" s="3" t="s">
        <v>59</v>
      </c>
      <c r="G26" s="10"/>
      <c r="H26" s="10"/>
      <c r="I26" s="10"/>
      <c r="J26" s="10"/>
      <c r="K26" s="10" t="b">
        <v>1</v>
      </c>
      <c r="L26" s="10"/>
      <c r="M26" s="25"/>
      <c r="N26" s="19" t="b">
        <f>IF(Tableau1[[#This Row],[Niveau]]=0,TRUE,FALSE)</f>
        <v>0</v>
      </c>
      <c r="O26" s="1" t="s">
        <v>215</v>
      </c>
      <c r="P26" s="6"/>
      <c r="Q26" s="6"/>
      <c r="R26" s="20" t="str">
        <f>CONCATENATE("&lt;h4 class=""nom""&gt;",Tableau1[[#This Row],[Nom]],"&lt;/h4&gt;")</f>
        <v>&lt;h4 class="nom"&gt;Peau de fer&lt;/h4&gt;</v>
      </c>
      <c r="S26" s="20"/>
      <c r="T26" s="20" t="str">
        <f>IF(Tableau1[[#This Row],[Passif ?]],"&lt;span class=""passive""&gt;Action passive&lt;/span&gt;","")</f>
        <v>&lt;span class="passive"&gt;Action passive&lt;/span&gt;</v>
      </c>
      <c r="U26" s="20" t="str">
        <f>IF(ISBLANK(Tableau1[[#This Row],[Profil]]),"",CONCATENATE("&lt;span class=""profil""&gt;Profil ",Tableau1[[#This Row],[Profil]],"&lt;/span&gt;"))</f>
        <v/>
      </c>
      <c r="V26" s="20" t="str">
        <f>IF(Tableau1[[#This Row],[Innée ?]],"&lt;span class=""innee""&gt;Action innée&lt;/span&gt;","")</f>
        <v/>
      </c>
      <c r="W26" s="20" t="str">
        <f>IF(Tableau1[[#This Row],[Niveau]]&gt;0,CONCATENATE("&lt;span class=""apprentissage""&gt;Apprentissage : &lt;span&gt;",Tableau1[[#This Row],[Caractéristique]], " ",Tableau1[[#This Row],[Apprentissage]],"&lt;/span&gt;&lt;/span&gt;"),"")</f>
        <v>&lt;span class="apprentissage"&gt;Apprentissage : &lt;span&gt;Vigueur 15&lt;/span&gt;&lt;/span&gt;</v>
      </c>
      <c r="X26" s="20"/>
      <c r="Y26" s="20" t="str">
        <f>CONCATENATE("&lt;p&gt;Exécution : &lt;span&gt;", IF(Tableau1[[#This Row],[Exécution]]&gt;0,Tableau1[[#This Row],[Exécution]],"-"), "&lt;/span&gt;&lt;/p&gt;")</f>
        <v>&lt;p&gt;Exécution : &lt;span&gt;-&lt;/span&gt;&lt;/p&gt;</v>
      </c>
      <c r="Z26" s="20" t="str">
        <f>CONCATENATE("&lt;p&gt;Souffle : &lt;span class=""jauge""&gt;", IF(Tableau1[[#This Row],[Souffle]]&gt;0,Tableau1[[#This Row],[Souffle]],"-"), "&lt;/span&gt;&lt;/p&gt;")</f>
        <v>&lt;p&gt;Souffle : &lt;span class="jauge"&gt;-&lt;/span&gt;&lt;/p&gt;</v>
      </c>
      <c r="AA26" s="20" t="str">
        <f>CONCATENATE("&lt;p&gt;Concentration : &lt;span class=""jauge""&gt;",IF(Tableau1[[#This Row],[Concentration]]&gt;0,Tableau1[[#This Row],[Concentration]],"-"), "&lt;/span&gt;&lt;/p&gt;")</f>
        <v>&lt;p&gt;Concentration : &lt;span class="jauge"&gt;-&lt;/span&gt;&lt;/p&gt;</v>
      </c>
      <c r="AB26" s="20" t="str">
        <f>IF(Tableau1[[#This Row],[Adrénaline]]&gt;0,CONCATENATE("&lt;p&gt;Adrénaline : &lt;span class=""jauge""&gt;", Tableau1[[#This Row],[Adrénaline]], "&lt;/span&gt;&lt;/p&gt;"),"")</f>
        <v/>
      </c>
      <c r="AC26" s="20"/>
      <c r="AD26" s="20" t="str">
        <f>CONCATENATE("&lt;div class=""effets""&gt;",Tableau1[[#This Row],[Effets]],"&lt;/div&gt;")</f>
        <v>&lt;div class="effets"&gt;Le personnage est doté d’une constitution à toute épreuve. Il réduit les dégâts provenant d’une attaque physique de 2 points.&lt;/div&gt;</v>
      </c>
      <c r="AE26" s="20"/>
      <c r="AF26" s="20" t="str">
        <f>CONCATENATE(Tableau1[[#This Row],[HTML_prefix]],Tableau1[[#This Row],[HTML_nom]],Tableau1[[#This Row],[HTML_specs_prefix]],Tableau1[[#This Row],[HTML_passif]],Tableau1[[#This Row],[HTML_profil]],Tableau1[[#This Row],[HTML_innée]],Tableau1[[#This Row],[HTML_apprentissage]],Tableau1[[#This Row],[HTML_specs_col]],Tableau1[[#This Row],[HTML_Execution]],Tableau1[[#This Row],[HTML_Souffle]],Tableau1[[#This Row],[HTML_Concentration]],Tableau1[[#This Row],[HTML_Adrénaline]],Tableau1[[#This Row],[HTML_specs_suffix]],Tableau1[[#This Row],[HTML_effets]],Tableau1[[#This Row],[HTML_suffix]])</f>
        <v>&lt;h4 class="nom"&gt;Peau de fer&lt;/h4&gt;&lt;span class="passive"&gt;Action passive&lt;/span&gt;&lt;span class="apprentissage"&gt;Apprentissage : &lt;span&gt;Vigueur 15&lt;/span&gt;&lt;/span&gt;&lt;p&gt;Exécution : &lt;span&gt;-&lt;/span&gt;&lt;/p&gt;&lt;p&gt;Souffle : &lt;span class="jauge"&gt;-&lt;/span&gt;&lt;/p&gt;&lt;p&gt;Concentration : &lt;span class="jauge"&gt;-&lt;/span&gt;&lt;/p&gt;&lt;div class="effets"&gt;Le personnage est doté d’une constitution à toute épreuve. Il réduit les dégâts provenant d’une attaque physique de 2 points.&lt;/div&gt;</v>
      </c>
      <c r="AG26" s="21" t="str">
        <f>IF(ISBLANK(Tableau1[[#This Row],[Nom]]),"",IF(B26&lt;&gt;B25,CONCATENATE("&lt;/div&gt;&lt;div class=""voie ",Tableau1[[#This Row],[Caractéristique]],"""&gt;&lt;h3&gt;",Tableau1[[#This Row],[Voie]],"&lt;/h3&gt;",Tableau1[[#This Row],[HTML_ligne]]),Tableau1[[#This Row],[HTML_ligne]]))</f>
        <v>&lt;h4 class="nom"&gt;Peau de fer&lt;/h4&gt;&lt;span class="passive"&gt;Action passive&lt;/span&gt;&lt;span class="apprentissage"&gt;Apprentissage : &lt;span&gt;Vigueur 15&lt;/span&gt;&lt;/span&gt;&lt;p&gt;Exécution : &lt;span&gt;-&lt;/span&gt;&lt;/p&gt;&lt;p&gt;Souffle : &lt;span class="jauge"&gt;-&lt;/span&gt;&lt;/p&gt;&lt;p&gt;Concentration : &lt;span class="jauge"&gt;-&lt;/span&gt;&lt;/p&gt;&lt;div class="effets"&gt;Le personnage est doté d’une constitution à toute épreuve. Il réduit les dégâts provenant d’une attaque physique de 2 points.&lt;/div&gt;</v>
      </c>
    </row>
    <row r="27" spans="1:33" ht="30" x14ac:dyDescent="0.25">
      <c r="A27" s="12">
        <v>5</v>
      </c>
      <c r="B27" s="3" t="s">
        <v>109</v>
      </c>
      <c r="C27" s="10">
        <v>2</v>
      </c>
      <c r="D27" s="3" t="s">
        <v>216</v>
      </c>
      <c r="E27" s="19">
        <f>IFERROR(VLOOKUP(Tableau1[[#This Row],[Niveau]],Tableau2[],2,FALSE),"")</f>
        <v>15</v>
      </c>
      <c r="F27" s="3" t="s">
        <v>59</v>
      </c>
      <c r="K27" s="10" t="b">
        <v>1</v>
      </c>
      <c r="N27" s="22" t="b">
        <f>IF(Tableau1[[#This Row],[Niveau]]=0,TRUE,FALSE)</f>
        <v>0</v>
      </c>
      <c r="O27" s="15" t="s">
        <v>243</v>
      </c>
      <c r="P27" s="16"/>
      <c r="Q27" s="16"/>
      <c r="R27" s="23" t="str">
        <f>CONCATENATE("&lt;h4 class=""nom""&gt;",Tableau1[[#This Row],[Nom]],"&lt;/h4&gt;")</f>
        <v>&lt;h4 class="nom"&gt;Second souffle&lt;/h4&gt;</v>
      </c>
      <c r="S27" s="23"/>
      <c r="T27" s="23" t="str">
        <f>IF(Tableau1[[#This Row],[Passif ?]],"&lt;span class=""passive""&gt;Action passive&lt;/span&gt;","")</f>
        <v>&lt;span class="passive"&gt;Action passive&lt;/span&gt;</v>
      </c>
      <c r="U27" s="23" t="str">
        <f>IF(ISBLANK(Tableau1[[#This Row],[Profil]]),"",CONCATENATE("&lt;span class=""profil""&gt;Profil ",Tableau1[[#This Row],[Profil]],"&lt;/span&gt;"))</f>
        <v/>
      </c>
      <c r="V27" s="23" t="str">
        <f>IF(Tableau1[[#This Row],[Innée ?]],"&lt;span class=""innee""&gt;Action innée&lt;/span&gt;","")</f>
        <v/>
      </c>
      <c r="W27" s="23" t="str">
        <f>IF(Tableau1[[#This Row],[Niveau]]&gt;0,CONCATENATE("&lt;span class=""apprentissage""&gt;Apprentissage : &lt;span&gt;",Tableau1[[#This Row],[Caractéristique]], " ",Tableau1[[#This Row],[Apprentissage]],"&lt;/span&gt;&lt;/span&gt;"),"")</f>
        <v>&lt;span class="apprentissage"&gt;Apprentissage : &lt;span&gt;Vigueur 15&lt;/span&gt;&lt;/span&gt;</v>
      </c>
      <c r="X27" s="23"/>
      <c r="Y27" s="23" t="str">
        <f>CONCATENATE("&lt;p&gt;Exécution : &lt;span&gt;", IF(Tableau1[[#This Row],[Exécution]]&gt;0,Tableau1[[#This Row],[Exécution]],"-"), "&lt;/span&gt;&lt;/p&gt;")</f>
        <v>&lt;p&gt;Exécution : &lt;span&gt;-&lt;/span&gt;&lt;/p&gt;</v>
      </c>
      <c r="Z27" s="23" t="str">
        <f>CONCATENATE("&lt;p&gt;Souffle : &lt;span class=""jauge""&gt;", IF(Tableau1[[#This Row],[Souffle]]&gt;0,Tableau1[[#This Row],[Souffle]],"-"), "&lt;/span&gt;&lt;/p&gt;")</f>
        <v>&lt;p&gt;Souffle : &lt;span class="jauge"&gt;-&lt;/span&gt;&lt;/p&gt;</v>
      </c>
      <c r="AA27" s="23" t="str">
        <f>CONCATENATE("&lt;p&gt;Concentration : &lt;span class=""jauge""&gt;",IF(Tableau1[[#This Row],[Concentration]]&gt;0,Tableau1[[#This Row],[Concentration]],"-"), "&lt;/span&gt;&lt;/p&gt;")</f>
        <v>&lt;p&gt;Concentration : &lt;span class="jauge"&gt;-&lt;/span&gt;&lt;/p&gt;</v>
      </c>
      <c r="AB27" s="23" t="str">
        <f>IF(Tableau1[[#This Row],[Adrénaline]]&gt;0,CONCATENATE("&lt;p&gt;Adrénaline : &lt;span class=""jauge""&gt;", Tableau1[[#This Row],[Adrénaline]], "&lt;/span&gt;&lt;/p&gt;"),"")</f>
        <v/>
      </c>
      <c r="AC27" s="23"/>
      <c r="AD27" s="23" t="str">
        <f>CONCATENATE("&lt;div class=""effets""&gt;",Tableau1[[#This Row],[Effets]],"&lt;/div&gt;")</f>
        <v>&lt;div class="effets"&gt;Une fois par heure, si le personnage tombe à 0 points de &lt;span class="jauge"&gt;Souffle&lt;/span&gt; et doit prendre 1 point de &lt;span class="jauge"&gt;Fatigue&lt;/span&gt;, il regagne 2 points de &lt;span class="jauge"&gt;Souffle&lt;/span&gt; à la place.&lt;/div&gt;</v>
      </c>
      <c r="AE27" s="23"/>
      <c r="AF27" s="23" t="str">
        <f>CONCATENATE(Tableau1[[#This Row],[HTML_prefix]],Tableau1[[#This Row],[HTML_nom]],Tableau1[[#This Row],[HTML_specs_prefix]],Tableau1[[#This Row],[HTML_passif]],Tableau1[[#This Row],[HTML_profil]],Tableau1[[#This Row],[HTML_innée]],Tableau1[[#This Row],[HTML_apprentissage]],Tableau1[[#This Row],[HTML_specs_col]],Tableau1[[#This Row],[HTML_Execution]],Tableau1[[#This Row],[HTML_Souffle]],Tableau1[[#This Row],[HTML_Concentration]],Tableau1[[#This Row],[HTML_Adrénaline]],Tableau1[[#This Row],[HTML_specs_suffix]],Tableau1[[#This Row],[HTML_effets]],Tableau1[[#This Row],[HTML_suffix]])</f>
        <v>&lt;h4 class="nom"&gt;Second souffle&lt;/h4&gt;&lt;span class="passive"&gt;Action passive&lt;/span&gt;&lt;span class="apprentissage"&gt;Apprentissage : &lt;span&gt;Vigueur 15&lt;/span&gt;&lt;/span&gt;&lt;p&gt;Exécution : &lt;span&gt;-&lt;/span&gt;&lt;/p&gt;&lt;p&gt;Souffle : &lt;span class="jauge"&gt;-&lt;/span&gt;&lt;/p&gt;&lt;p&gt;Concentration : &lt;span class="jauge"&gt;-&lt;/span&gt;&lt;/p&gt;&lt;div class="effets"&gt;Une fois par heure, si le personnage tombe à 0 points de &lt;span class="jauge"&gt;Souffle&lt;/span&gt; et doit prendre 1 point de &lt;span class="jauge"&gt;Fatigue&lt;/span&gt;, il regagne 2 points de &lt;span class="jauge"&gt;Souffle&lt;/span&gt; à la place.&lt;/div&gt;</v>
      </c>
      <c r="AG27" s="24" t="str">
        <f>IF(ISBLANK(Tableau1[[#This Row],[Nom]]),"",IF(B27&lt;&gt;B26,CONCATENATE("&lt;/div&gt;&lt;div class=""voie ",Tableau1[[#This Row],[Caractéristique]],"""&gt;&lt;h3&gt;",Tableau1[[#This Row],[Voie]],"&lt;/h3&gt;",Tableau1[[#This Row],[HTML_ligne]]),Tableau1[[#This Row],[HTML_ligne]]))</f>
        <v>&lt;h4 class="nom"&gt;Second souffle&lt;/h4&gt;&lt;span class="passive"&gt;Action passive&lt;/span&gt;&lt;span class="apprentissage"&gt;Apprentissage : &lt;span&gt;Vigueur 15&lt;/span&gt;&lt;/span&gt;&lt;p&gt;Exécution : &lt;span&gt;-&lt;/span&gt;&lt;/p&gt;&lt;p&gt;Souffle : &lt;span class="jauge"&gt;-&lt;/span&gt;&lt;/p&gt;&lt;p&gt;Concentration : &lt;span class="jauge"&gt;-&lt;/span&gt;&lt;/p&gt;&lt;div class="effets"&gt;Une fois par heure, si le personnage tombe à 0 points de &lt;span class="jauge"&gt;Souffle&lt;/span&gt; et doit prendre 1 point de &lt;span class="jauge"&gt;Fatigue&lt;/span&gt;, il regagne 2 points de &lt;span class="jauge"&gt;Souffle&lt;/span&gt; à la place.&lt;/div&gt;</v>
      </c>
    </row>
    <row r="28" spans="1:33" ht="30" x14ac:dyDescent="0.25">
      <c r="A28" s="12">
        <v>5</v>
      </c>
      <c r="B28" s="3" t="s">
        <v>109</v>
      </c>
      <c r="C28" s="10">
        <v>2</v>
      </c>
      <c r="D28" s="3" t="s">
        <v>217</v>
      </c>
      <c r="E28" s="19">
        <f>IFERROR(VLOOKUP(Tableau1[[#This Row],[Niveau]],Tableau2[],2,FALSE),"")</f>
        <v>15</v>
      </c>
      <c r="F28" s="3" t="s">
        <v>59</v>
      </c>
      <c r="K28" s="10" t="b">
        <v>1</v>
      </c>
      <c r="N28" s="19" t="b">
        <f>IF(Tableau1[[#This Row],[Niveau]]=0,TRUE,FALSE)</f>
        <v>0</v>
      </c>
      <c r="O28" s="15" t="s">
        <v>244</v>
      </c>
      <c r="R28" s="20" t="str">
        <f>CONCATENATE("&lt;h4 class=""nom""&gt;",Tableau1[[#This Row],[Nom]],"&lt;/h4&gt;")</f>
        <v>&lt;h4 class="nom"&gt;Regain d'attention&lt;/h4&gt;</v>
      </c>
      <c r="S28" s="20"/>
      <c r="T28" s="20" t="str">
        <f>IF(Tableau1[[#This Row],[Passif ?]],"&lt;span class=""passive""&gt;Action passive&lt;/span&gt;","")</f>
        <v>&lt;span class="passive"&gt;Action passive&lt;/span&gt;</v>
      </c>
      <c r="U28" s="20" t="str">
        <f>IF(ISBLANK(Tableau1[[#This Row],[Profil]]),"",CONCATENATE("&lt;span class=""profil""&gt;Profil ",Tableau1[[#This Row],[Profil]],"&lt;/span&gt;"))</f>
        <v/>
      </c>
      <c r="V28" s="20" t="str">
        <f>IF(Tableau1[[#This Row],[Innée ?]],"&lt;span class=""innee""&gt;Action innée&lt;/span&gt;","")</f>
        <v/>
      </c>
      <c r="W28" s="20" t="str">
        <f>IF(Tableau1[[#This Row],[Niveau]]&gt;0,CONCATENATE("&lt;span class=""apprentissage""&gt;Apprentissage : &lt;span&gt;",Tableau1[[#This Row],[Caractéristique]], " ",Tableau1[[#This Row],[Apprentissage]],"&lt;/span&gt;&lt;/span&gt;"),"")</f>
        <v>&lt;span class="apprentissage"&gt;Apprentissage : &lt;span&gt;Vigueur 15&lt;/span&gt;&lt;/span&gt;</v>
      </c>
      <c r="X28" s="20"/>
      <c r="Y28" s="20" t="str">
        <f>CONCATENATE("&lt;p&gt;Exécution : &lt;span&gt;", IF(Tableau1[[#This Row],[Exécution]]&gt;0,Tableau1[[#This Row],[Exécution]],"-"), "&lt;/span&gt;&lt;/p&gt;")</f>
        <v>&lt;p&gt;Exécution : &lt;span&gt;-&lt;/span&gt;&lt;/p&gt;</v>
      </c>
      <c r="Z28" s="20" t="str">
        <f>CONCATENATE("&lt;p&gt;Souffle : &lt;span class=""jauge""&gt;", IF(Tableau1[[#This Row],[Souffle]]&gt;0,Tableau1[[#This Row],[Souffle]],"-"), "&lt;/span&gt;&lt;/p&gt;")</f>
        <v>&lt;p&gt;Souffle : &lt;span class="jauge"&gt;-&lt;/span&gt;&lt;/p&gt;</v>
      </c>
      <c r="AA28" s="20" t="str">
        <f>CONCATENATE("&lt;p&gt;Concentration : &lt;span class=""jauge""&gt;",IF(Tableau1[[#This Row],[Concentration]]&gt;0,Tableau1[[#This Row],[Concentration]],"-"), "&lt;/span&gt;&lt;/p&gt;")</f>
        <v>&lt;p&gt;Concentration : &lt;span class="jauge"&gt;-&lt;/span&gt;&lt;/p&gt;</v>
      </c>
      <c r="AB28" s="20" t="str">
        <f>IF(Tableau1[[#This Row],[Adrénaline]]&gt;0,CONCATENATE("&lt;p&gt;Adrénaline : &lt;span class=""jauge""&gt;", Tableau1[[#This Row],[Adrénaline]], "&lt;/span&gt;&lt;/p&gt;"),"")</f>
        <v/>
      </c>
      <c r="AC28" s="20"/>
      <c r="AD28" s="20" t="str">
        <f>CONCATENATE("&lt;div class=""effets""&gt;",Tableau1[[#This Row],[Effets]],"&lt;/div&gt;")</f>
        <v>&lt;div class="effets"&gt;Une fois par heure, si le personnage tombe à 0 points de &lt;span class="jauge"&gt;Concentration&lt;/span&gt; et doit prendre 1 point de &lt;span class="jauge"&gt;Fatigue&lt;/span&gt;, il regagne 2 points de &lt;span class="jauge"&gt;Concentration&lt;/span&gt; à la place.&lt;/div&gt;</v>
      </c>
      <c r="AE28" s="20"/>
      <c r="AF28" s="20" t="str">
        <f>CONCATENATE(Tableau1[[#This Row],[HTML_prefix]],Tableau1[[#This Row],[HTML_nom]],Tableau1[[#This Row],[HTML_specs_prefix]],Tableau1[[#This Row],[HTML_passif]],Tableau1[[#This Row],[HTML_profil]],Tableau1[[#This Row],[HTML_innée]],Tableau1[[#This Row],[HTML_apprentissage]],Tableau1[[#This Row],[HTML_specs_col]],Tableau1[[#This Row],[HTML_Execution]],Tableau1[[#This Row],[HTML_Souffle]],Tableau1[[#This Row],[HTML_Concentration]],Tableau1[[#This Row],[HTML_Adrénaline]],Tableau1[[#This Row],[HTML_specs_suffix]],Tableau1[[#This Row],[HTML_effets]],Tableau1[[#This Row],[HTML_suffix]])</f>
        <v>&lt;h4 class="nom"&gt;Regain d'attention&lt;/h4&gt;&lt;span class="passive"&gt;Action passive&lt;/span&gt;&lt;span class="apprentissage"&gt;Apprentissage : &lt;span&gt;Vigueur 15&lt;/span&gt;&lt;/span&gt;&lt;p&gt;Exécution : &lt;span&gt;-&lt;/span&gt;&lt;/p&gt;&lt;p&gt;Souffle : &lt;span class="jauge"&gt;-&lt;/span&gt;&lt;/p&gt;&lt;p&gt;Concentration : &lt;span class="jauge"&gt;-&lt;/span&gt;&lt;/p&gt;&lt;div class="effets"&gt;Une fois par heure, si le personnage tombe à 0 points de &lt;span class="jauge"&gt;Concentration&lt;/span&gt; et doit prendre 1 point de &lt;span class="jauge"&gt;Fatigue&lt;/span&gt;, il regagne 2 points de &lt;span class="jauge"&gt;Concentration&lt;/span&gt; à la place.&lt;/div&gt;</v>
      </c>
      <c r="AG28" s="21" t="str">
        <f>IF(ISBLANK(Tableau1[[#This Row],[Nom]]),"",IF(B28&lt;&gt;B27,CONCATENATE("&lt;/div&gt;&lt;div class=""voie ",Tableau1[[#This Row],[Caractéristique]],"""&gt;&lt;h3&gt;",Tableau1[[#This Row],[Voie]],"&lt;/h3&gt;",Tableau1[[#This Row],[HTML_ligne]]),Tableau1[[#This Row],[HTML_ligne]]))</f>
        <v>&lt;h4 class="nom"&gt;Regain d'attention&lt;/h4&gt;&lt;span class="passive"&gt;Action passive&lt;/span&gt;&lt;span class="apprentissage"&gt;Apprentissage : &lt;span&gt;Vigueur 15&lt;/span&gt;&lt;/span&gt;&lt;p&gt;Exécution : &lt;span&gt;-&lt;/span&gt;&lt;/p&gt;&lt;p&gt;Souffle : &lt;span class="jauge"&gt;-&lt;/span&gt;&lt;/p&gt;&lt;p&gt;Concentration : &lt;span class="jauge"&gt;-&lt;/span&gt;&lt;/p&gt;&lt;div class="effets"&gt;Une fois par heure, si le personnage tombe à 0 points de &lt;span class="jauge"&gt;Concentration&lt;/span&gt; et doit prendre 1 point de &lt;span class="jauge"&gt;Fatigue&lt;/span&gt;, il regagne 2 points de &lt;span class="jauge"&gt;Concentration&lt;/span&gt; à la place.&lt;/div&gt;</v>
      </c>
    </row>
    <row r="29" spans="1:33" ht="60" x14ac:dyDescent="0.25">
      <c r="A29" s="12">
        <v>6</v>
      </c>
      <c r="B29" s="3" t="s">
        <v>22</v>
      </c>
      <c r="C29" s="10">
        <v>0</v>
      </c>
      <c r="D29" s="3" t="s">
        <v>106</v>
      </c>
      <c r="E29" s="4">
        <f>IFERROR(VLOOKUP(Tableau1[[#This Row],[Niveau]],Tableau2[],2,FALSE),"")</f>
        <v>0</v>
      </c>
      <c r="F29" s="3" t="s">
        <v>58</v>
      </c>
      <c r="G29" s="10">
        <v>1</v>
      </c>
      <c r="H29" s="10">
        <v>1</v>
      </c>
      <c r="L29" s="10" t="b">
        <v>1</v>
      </c>
      <c r="N29" s="4" t="b">
        <f>IF(Tableau1[[#This Row],[Niveau]]=0,TRUE,FALSE)</f>
        <v>1</v>
      </c>
      <c r="O29" s="5" t="s">
        <v>124</v>
      </c>
      <c r="P29" s="3"/>
      <c r="Q29" s="6" t="s">
        <v>65</v>
      </c>
      <c r="R29" s="6" t="str">
        <f>CONCATENATE("&lt;h4 class=""nom""&gt;",Tableau1[[#This Row],[Nom]],"&lt;/h4&gt;")</f>
        <v>&lt;h4 class="nom"&gt;Parer&lt;/h4&gt;</v>
      </c>
      <c r="S29" s="6" t="s">
        <v>66</v>
      </c>
      <c r="T29" s="6" t="str">
        <f>IF(Tableau1[[#This Row],[Passif ?]],"&lt;span class=""passive""&gt;Action passive&lt;/span&gt;","")</f>
        <v/>
      </c>
      <c r="U29" s="6" t="str">
        <f>IF(ISBLANK(Tableau1[[#This Row],[Profil]]),"",CONCATENATE("&lt;span class=""profil""&gt;Profil ",Tableau1[[#This Row],[Profil]],"&lt;/span&gt;"))</f>
        <v/>
      </c>
      <c r="V29" s="6" t="str">
        <f>IF(Tableau1[[#This Row],[Innée ?]],"&lt;span class=""innee""&gt;Action innée&lt;/span&gt;","")</f>
        <v>&lt;span class="innee"&gt;Action innée&lt;/span&gt;</v>
      </c>
      <c r="W29" s="6" t="str">
        <f>IF(Tableau1[[#This Row],[Niveau]]&gt;0,CONCATENATE("&lt;span class=""apprentissage""&gt;Apprentissage : &lt;span&gt;",Tableau1[[#This Row],[Caractéristique]], " ",Tableau1[[#This Row],[Apprentissage]],"&lt;/span&gt;&lt;/span&gt;"),"")</f>
        <v/>
      </c>
      <c r="X29" s="6" t="s">
        <v>67</v>
      </c>
      <c r="Y29" s="6" t="str">
        <f>CONCATENATE("&lt;p&gt;Exécution : &lt;span&gt;", IF(Tableau1[[#This Row],[Exécution]]&gt;0,Tableau1[[#This Row],[Exécution]],"-"), "&lt;/span&gt;&lt;/p&gt;")</f>
        <v>&lt;p&gt;Exécution : &lt;span&gt;1&lt;/span&gt;&lt;/p&gt;</v>
      </c>
      <c r="Z29" s="6" t="str">
        <f>CONCATENATE("&lt;p&gt;Souffle : &lt;span class=""jauge""&gt;", IF(Tableau1[[#This Row],[Souffle]]&gt;0,Tableau1[[#This Row],[Souffle]],"-"), "&lt;/span&gt;&lt;/p&gt;")</f>
        <v>&lt;p&gt;Souffle : &lt;span class="jauge"&gt;1&lt;/span&gt;&lt;/p&gt;</v>
      </c>
      <c r="AA29" s="6" t="str">
        <f>CONCATENATE("&lt;p&gt;Concentration : &lt;span class=""jauge""&gt;",IF(Tableau1[[#This Row],[Concentration]]&gt;0,Tableau1[[#This Row],[Concentration]],"-"), "&lt;/span&gt;&lt;/p&gt;")</f>
        <v>&lt;p&gt;Concentration : &lt;span class="jauge"&gt;-&lt;/span&gt;&lt;/p&gt;</v>
      </c>
      <c r="AB29" s="6" t="str">
        <f>IF(Tableau1[[#This Row],[Adrénaline]]&gt;0,CONCATENATE("&lt;p&gt;Adrénaline : &lt;span class=""jauge""&gt;", Tableau1[[#This Row],[Adrénaline]], "&lt;/span&gt;&lt;/p&gt;"),"")</f>
        <v/>
      </c>
      <c r="AC29" s="6" t="s">
        <v>50</v>
      </c>
      <c r="AD29" s="6" t="str">
        <f>CONCATENATE("&lt;div class=""effets""&gt;",Tableau1[[#This Row],[Effets]],"&lt;/div&gt;")</f>
        <v>&lt;div class="effets"&gt;Au corps à corps, si le personnage pense pouvoir bloquer l’attaque de son adversaire, il peut utiliser une action pour tenter de la parer. Dans ce cas, il doit utiliser une arme ou un bouclier et son score de défense sera égal à son &lt;span class="stat"&gt;Adresse&lt;/span&gt; un D20.&lt;br /&gt;Si sa défense est plus grande que l’attaque, les dégâts de l'attaque sont réduis de la valeur haute de parade de l'arme. Si la parade est un échec, les dégâts sont tout de même réduits mais de la valeur basse de parade de l'arme.&lt;/div&gt;</v>
      </c>
      <c r="AE29" s="6" t="s">
        <v>64</v>
      </c>
      <c r="AF29" s="6" t="str">
        <f>CONCATENATE(Tableau1[[#This Row],[HTML_prefix]],Tableau1[[#This Row],[HTML_nom]],Tableau1[[#This Row],[HTML_specs_prefix]],Tableau1[[#This Row],[HTML_passif]],Tableau1[[#This Row],[HTML_profil]],Tableau1[[#This Row],[HTML_innée]],Tableau1[[#This Row],[HTML_apprentissage]],Tableau1[[#This Row],[HTML_specs_col]],Tableau1[[#This Row],[HTML_Execution]],Tableau1[[#This Row],[HTML_Souffle]],Tableau1[[#This Row],[HTML_Concentration]],Tableau1[[#This Row],[HTML_Adrénaline]],Tableau1[[#This Row],[HTML_specs_suffix]],Tableau1[[#This Row],[HTML_effets]],Tableau1[[#This Row],[HTML_suffix]])</f>
        <v>&lt;div class="comp"&gt;&lt;h4 class="nom"&gt;Parer&lt;/h4&gt;&lt;table class="spec"&gt;&lt;tr&gt;&lt;td class="left"&gt;&lt;span class="innee"&gt;Action innée&lt;/span&gt;&lt;/td&gt;&lt;td class="right"&gt;&lt;p&gt;Exécution : &lt;span&gt;1&lt;/span&gt;&lt;/p&gt;&lt;p&gt;Souffle : &lt;span class="jauge"&gt;1&lt;/span&gt;&lt;/p&gt;&lt;p&gt;Concentration : &lt;span class="jauge"&gt;-&lt;/span&gt;&lt;/p&gt;&lt;/td&gt;&lt;/tr&gt;&lt;/table class=""spec""&gt;&lt;div class="effets"&gt;Au corps à corps, si le personnage pense pouvoir bloquer l’attaque de son adversaire, il peut utiliser une action pour tenter de la parer. Dans ce cas, il doit utiliser une arme ou un bouclier et son score de défense sera égal à son &lt;span class="stat"&gt;Adresse&lt;/span&gt; un D20.&lt;br /&gt;Si sa défense est plus grande que l’attaque, les dégâts de l'attaque sont réduis de la valeur haute de parade de l'arme. Si la parade est un échec, les dégâts sont tout de même réduits mais de la valeur basse de parade de l'arme.&lt;/div&gt;&lt;/div&gt;</v>
      </c>
      <c r="AG29" s="8" t="str">
        <f>IF(ISBLANK(Tableau1[[#This Row],[Nom]]),"",IF(B29&lt;&gt;B25,CONCATENATE("&lt;/div&gt;&lt;div class=""voie ",Tableau1[[#This Row],[Caractéristique]],"""&gt;&lt;h3&gt;",Tableau1[[#This Row],[Voie]],"&lt;/h3&gt;",Tableau1[[#This Row],[HTML_ligne]]),Tableau1[[#This Row],[HTML_ligne]]))</f>
        <v>&lt;/div&gt;&lt;div class="voie Adresse"&gt;&lt;h3&gt;Parade&lt;/h3&gt;&lt;div class="comp"&gt;&lt;h4 class="nom"&gt;Parer&lt;/h4&gt;&lt;table class="spec"&gt;&lt;tr&gt;&lt;td class="left"&gt;&lt;span class="innee"&gt;Action innée&lt;/span&gt;&lt;/td&gt;&lt;td class="right"&gt;&lt;p&gt;Exécution : &lt;span&gt;1&lt;/span&gt;&lt;/p&gt;&lt;p&gt;Souffle : &lt;span class="jauge"&gt;1&lt;/span&gt;&lt;/p&gt;&lt;p&gt;Concentration : &lt;span class="jauge"&gt;-&lt;/span&gt;&lt;/p&gt;&lt;/td&gt;&lt;/tr&gt;&lt;/table class=""spec""&gt;&lt;div class="effets"&gt;Au corps à corps, si le personnage pense pouvoir bloquer l’attaque de son adversaire, il peut utiliser une action pour tenter de la parer. Dans ce cas, il doit utiliser une arme ou un bouclier et son score de défense sera égal à son &lt;span class="stat"&gt;Adresse&lt;/span&gt; un D20.&lt;br /&gt;Si sa défense est plus grande que l’attaque, les dégâts de l'attaque sont réduis de la valeur haute de parade de l'arme. Si la parade est un échec, les dégâts sont tout de même réduits mais de la valeur basse de parade de l'arme.&lt;/div&gt;&lt;/div&gt;</v>
      </c>
    </row>
    <row r="30" spans="1:33" x14ac:dyDescent="0.25">
      <c r="A30" s="12">
        <v>6</v>
      </c>
      <c r="B30" s="3" t="s">
        <v>22</v>
      </c>
      <c r="C30" s="10">
        <v>2</v>
      </c>
      <c r="D30" s="3" t="s">
        <v>120</v>
      </c>
      <c r="E30" s="4">
        <f>IFERROR(VLOOKUP(Tableau1[[#This Row],[Niveau]],Tableau2[],2,FALSE),"")</f>
        <v>15</v>
      </c>
      <c r="F30" s="3" t="s">
        <v>58</v>
      </c>
      <c r="K30" s="10" t="b">
        <v>1</v>
      </c>
      <c r="N30" s="4" t="b">
        <f>IF(Tableau1[[#This Row],[Niveau]]=0,TRUE,FALSE)</f>
        <v>0</v>
      </c>
      <c r="O30" s="5" t="s">
        <v>121</v>
      </c>
      <c r="P30" s="3"/>
      <c r="Q30" s="6" t="s">
        <v>65</v>
      </c>
      <c r="R30" s="6" t="str">
        <f>CONCATENATE("&lt;h4 class=""nom""&gt;",Tableau1[[#This Row],[Nom]],"&lt;/h4&gt;")</f>
        <v>&lt;h4 class="nom"&gt;Maitre de la parade&lt;/h4&gt;</v>
      </c>
      <c r="S30" s="6" t="s">
        <v>66</v>
      </c>
      <c r="T30" s="6" t="str">
        <f>IF(Tableau1[[#This Row],[Passif ?]],"&lt;span class=""passive""&gt;Action passive&lt;/span&gt;","")</f>
        <v>&lt;span class="passive"&gt;Action passive&lt;/span&gt;</v>
      </c>
      <c r="U30" s="6" t="str">
        <f>IF(ISBLANK(Tableau1[[#This Row],[Profil]]),"",CONCATENATE("&lt;span class=""profil""&gt;Profil ",Tableau1[[#This Row],[Profil]],"&lt;/span&gt;"))</f>
        <v/>
      </c>
      <c r="V30" s="6" t="str">
        <f>IF(Tableau1[[#This Row],[Innée ?]],"&lt;span class=""innee""&gt;Action innée&lt;/span&gt;","")</f>
        <v/>
      </c>
      <c r="W30" s="6" t="str">
        <f>IF(Tableau1[[#This Row],[Niveau]]&gt;0,CONCATENATE("&lt;span class=""apprentissage""&gt;Apprentissage : &lt;span&gt;",Tableau1[[#This Row],[Caractéristique]], " ",Tableau1[[#This Row],[Apprentissage]],"&lt;/span&gt;&lt;/span&gt;"),"")</f>
        <v>&lt;span class="apprentissage"&gt;Apprentissage : &lt;span&gt;Adresse 15&lt;/span&gt;&lt;/span&gt;</v>
      </c>
      <c r="X30" s="6" t="s">
        <v>67</v>
      </c>
      <c r="Y30" s="6" t="str">
        <f>CONCATENATE("&lt;p&gt;Exécution : &lt;span&gt;", IF(Tableau1[[#This Row],[Exécution]]&gt;0,Tableau1[[#This Row],[Exécution]],"-"), "&lt;/span&gt;&lt;/p&gt;")</f>
        <v>&lt;p&gt;Exécution : &lt;span&gt;-&lt;/span&gt;&lt;/p&gt;</v>
      </c>
      <c r="Z30" s="6" t="str">
        <f>CONCATENATE("&lt;p&gt;Souffle : &lt;span class=""jauge""&gt;", IF(Tableau1[[#This Row],[Souffle]]&gt;0,Tableau1[[#This Row],[Souffle]],"-"), "&lt;/span&gt;&lt;/p&gt;")</f>
        <v>&lt;p&gt;Souffle : &lt;span class="jauge"&gt;-&lt;/span&gt;&lt;/p&gt;</v>
      </c>
      <c r="AA30" s="6" t="str">
        <f>CONCATENATE("&lt;p&gt;Concentration : &lt;span class=""jauge""&gt;",IF(Tableau1[[#This Row],[Concentration]]&gt;0,Tableau1[[#This Row],[Concentration]],"-"), "&lt;/span&gt;&lt;/p&gt;")</f>
        <v>&lt;p&gt;Concentration : &lt;span class="jauge"&gt;-&lt;/span&gt;&lt;/p&gt;</v>
      </c>
      <c r="AB30" s="6" t="str">
        <f>IF(Tableau1[[#This Row],[Adrénaline]]&gt;0,CONCATENATE("&lt;p&gt;Adrénaline : &lt;span class=""jauge""&gt;", Tableau1[[#This Row],[Adrénaline]], "&lt;/span&gt;&lt;/p&gt;"),"")</f>
        <v/>
      </c>
      <c r="AC30" s="6" t="s">
        <v>50</v>
      </c>
      <c r="AD30" s="6" t="str">
        <f>CONCATENATE("&lt;div class=""effets""&gt;",Tableau1[[#This Row],[Effets]],"&lt;/div&gt;")</f>
        <v>&lt;div class="effets"&gt;Pour chaque niveau dans cette compétence, le personnage gagne un bonus de +2 à ses parades.&lt;/div&gt;</v>
      </c>
      <c r="AE30" s="6" t="s">
        <v>64</v>
      </c>
      <c r="AF30" s="6" t="str">
        <f>CONCATENATE(Tableau1[[#This Row],[HTML_prefix]],Tableau1[[#This Row],[HTML_nom]],Tableau1[[#This Row],[HTML_specs_prefix]],Tableau1[[#This Row],[HTML_passif]],Tableau1[[#This Row],[HTML_profil]],Tableau1[[#This Row],[HTML_innée]],Tableau1[[#This Row],[HTML_apprentissage]],Tableau1[[#This Row],[HTML_specs_col]],Tableau1[[#This Row],[HTML_Execution]],Tableau1[[#This Row],[HTML_Souffle]],Tableau1[[#This Row],[HTML_Concentration]],Tableau1[[#This Row],[HTML_Adrénaline]],Tableau1[[#This Row],[HTML_specs_suffix]],Tableau1[[#This Row],[HTML_effets]],Tableau1[[#This Row],[HTML_suffix]])</f>
        <v>&lt;div class="comp"&gt;&lt;h4 class="nom"&gt;Maitre de la parade&lt;/h4&gt;&lt;table class="spec"&gt;&lt;tr&gt;&lt;td class="left"&gt;&lt;span class="passive"&gt;Action passive&lt;/span&gt;&lt;span class="apprentissage"&gt;Apprentissage : &lt;span&gt;Adresse 15&lt;/span&gt;&lt;/span&gt;&lt;/td&gt;&lt;td class="right"&gt;&lt;p&gt;Exécution : &lt;span&gt;-&lt;/span&gt;&lt;/p&gt;&lt;p&gt;Souffle : &lt;span class="jauge"&gt;-&lt;/span&gt;&lt;/p&gt;&lt;p&gt;Concentration : &lt;span class="jauge"&gt;-&lt;/span&gt;&lt;/p&gt;&lt;/td&gt;&lt;/tr&gt;&lt;/table class=""spec""&gt;&lt;div class="effets"&gt;Pour chaque niveau dans cette compétence, le personnage gagne un bonus de +2 à ses parades.&lt;/div&gt;&lt;/div&gt;</v>
      </c>
      <c r="AG30" s="8" t="str">
        <f>IF(ISBLANK(Tableau1[[#This Row],[Nom]]),"",IF(B30&lt;&gt;B29,CONCATENATE("&lt;/div&gt;&lt;div class=""voie ",Tableau1[[#This Row],[Caractéristique]],"""&gt;&lt;h3&gt;",Tableau1[[#This Row],[Voie]],"&lt;/h3&gt;",Tableau1[[#This Row],[HTML_ligne]]),Tableau1[[#This Row],[HTML_ligne]]))</f>
        <v>&lt;div class="comp"&gt;&lt;h4 class="nom"&gt;Maitre de la parade&lt;/h4&gt;&lt;table class="spec"&gt;&lt;tr&gt;&lt;td class="left"&gt;&lt;span class="passive"&gt;Action passive&lt;/span&gt;&lt;span class="apprentissage"&gt;Apprentissage : &lt;span&gt;Adresse 15&lt;/span&gt;&lt;/span&gt;&lt;/td&gt;&lt;td class="right"&gt;&lt;p&gt;Exécution : &lt;span&gt;-&lt;/span&gt;&lt;/p&gt;&lt;p&gt;Souffle : &lt;span class="jauge"&gt;-&lt;/span&gt;&lt;/p&gt;&lt;p&gt;Concentration : &lt;span class="jauge"&gt;-&lt;/span&gt;&lt;/p&gt;&lt;/td&gt;&lt;/tr&gt;&lt;/table class=""spec""&gt;&lt;div class="effets"&gt;Pour chaque niveau dans cette compétence, le personnage gagne un bonus de +2 à ses parades.&lt;/div&gt;&lt;/div&gt;</v>
      </c>
    </row>
    <row r="31" spans="1:33" ht="45" x14ac:dyDescent="0.25">
      <c r="A31" s="12">
        <v>6</v>
      </c>
      <c r="B31" s="3" t="s">
        <v>22</v>
      </c>
      <c r="C31" s="10">
        <v>2</v>
      </c>
      <c r="D31" s="3" t="s">
        <v>108</v>
      </c>
      <c r="E31" s="4">
        <f>IFERROR(VLOOKUP(Tableau1[[#This Row],[Niveau]],Tableau2[],2,FALSE),"")</f>
        <v>15</v>
      </c>
      <c r="F31" s="3" t="s">
        <v>58</v>
      </c>
      <c r="K31" s="10" t="b">
        <v>1</v>
      </c>
      <c r="N31" s="4" t="b">
        <f>IF(Tableau1[[#This Row],[Niveau]]=0,TRUE,FALSE)</f>
        <v>0</v>
      </c>
      <c r="O31" s="5" t="s">
        <v>192</v>
      </c>
      <c r="P31" s="3"/>
      <c r="Q31" s="6" t="s">
        <v>65</v>
      </c>
      <c r="R31" s="6" t="str">
        <f>CONCATENATE("&lt;h4 class=""nom""&gt;",Tableau1[[#This Row],[Nom]],"&lt;/h4&gt;")</f>
        <v>&lt;h4 class="nom"&gt;Parade de projectile&lt;/h4&gt;</v>
      </c>
      <c r="S31" s="6" t="s">
        <v>66</v>
      </c>
      <c r="T31" s="6" t="str">
        <f>IF(Tableau1[[#This Row],[Passif ?]],"&lt;span class=""passive""&gt;Action passive&lt;/span&gt;","")</f>
        <v>&lt;span class="passive"&gt;Action passive&lt;/span&gt;</v>
      </c>
      <c r="U31" s="6" t="str">
        <f>IF(ISBLANK(Tableau1[[#This Row],[Profil]]),"",CONCATENATE("&lt;span class=""profil""&gt;Profil ",Tableau1[[#This Row],[Profil]],"&lt;/span&gt;"))</f>
        <v/>
      </c>
      <c r="V31" s="6" t="str">
        <f>IF(Tableau1[[#This Row],[Innée ?]],"&lt;span class=""innee""&gt;Action innée&lt;/span&gt;","")</f>
        <v/>
      </c>
      <c r="W31" s="6" t="str">
        <f>IF(Tableau1[[#This Row],[Niveau]]&gt;0,CONCATENATE("&lt;span class=""apprentissage""&gt;Apprentissage : &lt;span&gt;",Tableau1[[#This Row],[Caractéristique]], " ",Tableau1[[#This Row],[Apprentissage]],"&lt;/span&gt;&lt;/span&gt;"),"")</f>
        <v>&lt;span class="apprentissage"&gt;Apprentissage : &lt;span&gt;Adresse 15&lt;/span&gt;&lt;/span&gt;</v>
      </c>
      <c r="X31" s="6" t="s">
        <v>67</v>
      </c>
      <c r="Y31" s="6" t="str">
        <f>CONCATENATE("&lt;p&gt;Exécution : &lt;span&gt;", IF(Tableau1[[#This Row],[Exécution]]&gt;0,Tableau1[[#This Row],[Exécution]],"-"), "&lt;/span&gt;&lt;/p&gt;")</f>
        <v>&lt;p&gt;Exécution : &lt;span&gt;-&lt;/span&gt;&lt;/p&gt;</v>
      </c>
      <c r="Z31" s="6" t="str">
        <f>CONCATENATE("&lt;p&gt;Souffle : &lt;span class=""jauge""&gt;", IF(Tableau1[[#This Row],[Souffle]]&gt;0,Tableau1[[#This Row],[Souffle]],"-"), "&lt;/span&gt;&lt;/p&gt;")</f>
        <v>&lt;p&gt;Souffle : &lt;span class="jauge"&gt;-&lt;/span&gt;&lt;/p&gt;</v>
      </c>
      <c r="AA31" s="6" t="str">
        <f>CONCATENATE("&lt;p&gt;Concentration : &lt;span class=""jauge""&gt;",IF(Tableau1[[#This Row],[Concentration]]&gt;0,Tableau1[[#This Row],[Concentration]],"-"), "&lt;/span&gt;&lt;/p&gt;")</f>
        <v>&lt;p&gt;Concentration : &lt;span class="jauge"&gt;-&lt;/span&gt;&lt;/p&gt;</v>
      </c>
      <c r="AB31" s="6" t="str">
        <f>IF(Tableau1[[#This Row],[Adrénaline]]&gt;0,CONCATENATE("&lt;p&gt;Adrénaline : &lt;span class=""jauge""&gt;", Tableau1[[#This Row],[Adrénaline]], "&lt;/span&gt;&lt;/p&gt;"),"")</f>
        <v/>
      </c>
      <c r="AC31" s="6" t="s">
        <v>50</v>
      </c>
      <c r="AD31" s="6" t="str">
        <f>CONCATENATE("&lt;div class=""effets""&gt;",Tableau1[[#This Row],[Effets]],"&lt;/div&gt;")</f>
        <v>&lt;div class="effets"&gt;Si le personnage est la cible d’un projectile, il peut tenter une parade avec un malus de -8. Il opposera alors sa défense au résultat du test d'&lt;span class="stat"&gt;Adresse&lt;/span&gt; du tireur (ou du test d'&lt;span class="stat"&gt;Intelligence&lt;/span&gt; pour un projectile magique). Le malus descend à -2 si cette parade est réalisée avec un bouclier.&lt;/div&gt;</v>
      </c>
      <c r="AE31" s="6" t="s">
        <v>64</v>
      </c>
      <c r="AF31" s="6" t="str">
        <f>CONCATENATE(Tableau1[[#This Row],[HTML_prefix]],Tableau1[[#This Row],[HTML_nom]],Tableau1[[#This Row],[HTML_specs_prefix]],Tableau1[[#This Row],[HTML_passif]],Tableau1[[#This Row],[HTML_profil]],Tableau1[[#This Row],[HTML_innée]],Tableau1[[#This Row],[HTML_apprentissage]],Tableau1[[#This Row],[HTML_specs_col]],Tableau1[[#This Row],[HTML_Execution]],Tableau1[[#This Row],[HTML_Souffle]],Tableau1[[#This Row],[HTML_Concentration]],Tableau1[[#This Row],[HTML_Adrénaline]],Tableau1[[#This Row],[HTML_specs_suffix]],Tableau1[[#This Row],[HTML_effets]],Tableau1[[#This Row],[HTML_suffix]])</f>
        <v>&lt;div class="comp"&gt;&lt;h4 class="nom"&gt;Parade de projectile&lt;/h4&gt;&lt;table class="spec"&gt;&lt;tr&gt;&lt;td class="left"&gt;&lt;span class="passive"&gt;Action passive&lt;/span&gt;&lt;span class="apprentissage"&gt;Apprentissage : &lt;span&gt;Adresse 15&lt;/span&gt;&lt;/span&gt;&lt;/td&gt;&lt;td class="right"&gt;&lt;p&gt;Exécution : &lt;span&gt;-&lt;/span&gt;&lt;/p&gt;&lt;p&gt;Souffle : &lt;span class="jauge"&gt;-&lt;/span&gt;&lt;/p&gt;&lt;p&gt;Concentration : &lt;span class="jauge"&gt;-&lt;/span&gt;&lt;/p&gt;&lt;/td&gt;&lt;/tr&gt;&lt;/table class=""spec""&gt;&lt;div class="effets"&gt;Si le personnage est la cible d’un projectile, il peut tenter une parade avec un malus de -8. Il opposera alors sa défense au résultat du test d'&lt;span class="stat"&gt;Adresse&lt;/span&gt; du tireur (ou du test d'&lt;span class="stat"&gt;Intelligence&lt;/span&gt; pour un projectile magique). Le malus descend à -2 si cette parade est réalisée avec un bouclier.&lt;/div&gt;&lt;/div&gt;</v>
      </c>
      <c r="AG31" s="8" t="str">
        <f>IF(ISBLANK(Tableau1[[#This Row],[Nom]]),"",IF(B31&lt;&gt;B30,CONCATENATE("&lt;/div&gt;&lt;div class=""voie ",Tableau1[[#This Row],[Caractéristique]],"""&gt;&lt;h3&gt;",Tableau1[[#This Row],[Voie]],"&lt;/h3&gt;",Tableau1[[#This Row],[HTML_ligne]]),Tableau1[[#This Row],[HTML_ligne]]))</f>
        <v>&lt;div class="comp"&gt;&lt;h4 class="nom"&gt;Parade de projectile&lt;/h4&gt;&lt;table class="spec"&gt;&lt;tr&gt;&lt;td class="left"&gt;&lt;span class="passive"&gt;Action passive&lt;/span&gt;&lt;span class="apprentissage"&gt;Apprentissage : &lt;span&gt;Adresse 15&lt;/span&gt;&lt;/span&gt;&lt;/td&gt;&lt;td class="right"&gt;&lt;p&gt;Exécution : &lt;span&gt;-&lt;/span&gt;&lt;/p&gt;&lt;p&gt;Souffle : &lt;span class="jauge"&gt;-&lt;/span&gt;&lt;/p&gt;&lt;p&gt;Concentration : &lt;span class="jauge"&gt;-&lt;/span&gt;&lt;/p&gt;&lt;/td&gt;&lt;/tr&gt;&lt;/table class=""spec""&gt;&lt;div class="effets"&gt;Si le personnage est la cible d’un projectile, il peut tenter une parade avec un malus de -8. Il opposera alors sa défense au résultat du test d'&lt;span class="stat"&gt;Adresse&lt;/span&gt; du tireur (ou du test d'&lt;span class="stat"&gt;Intelligence&lt;/span&gt; pour un projectile magique). Le malus descend à -2 si cette parade est réalisée avec un bouclier.&lt;/div&gt;&lt;/div&gt;</v>
      </c>
    </row>
    <row r="32" spans="1:33" ht="30" x14ac:dyDescent="0.25">
      <c r="A32" s="12">
        <v>6</v>
      </c>
      <c r="B32" s="3" t="s">
        <v>22</v>
      </c>
      <c r="C32" s="10">
        <v>1</v>
      </c>
      <c r="D32" s="3" t="s">
        <v>193</v>
      </c>
      <c r="E32" s="4">
        <f>IFERROR(VLOOKUP(Tableau1[[#This Row],[Niveau]],Tableau2[],2,FALSE),"")</f>
        <v>10</v>
      </c>
      <c r="F32" s="3" t="s">
        <v>58</v>
      </c>
      <c r="I32" s="10">
        <v>1</v>
      </c>
      <c r="N32" s="4" t="b">
        <f>IF(Tableau1[[#This Row],[Niveau]]=0,TRUE,FALSE)</f>
        <v>0</v>
      </c>
      <c r="O32" s="5" t="s">
        <v>195</v>
      </c>
      <c r="P32" s="3"/>
      <c r="Q32" s="6" t="s">
        <v>65</v>
      </c>
      <c r="R32" s="6" t="str">
        <f>CONCATENATE("&lt;h4 class=""nom""&gt;",Tableau1[[#This Row],[Nom]],"&lt;/h4&gt;")</f>
        <v>&lt;h4 class="nom"&gt;Parade déstabilisante&lt;/h4&gt;</v>
      </c>
      <c r="S32" s="6" t="s">
        <v>66</v>
      </c>
      <c r="T32" s="6" t="str">
        <f>IF(Tableau1[[#This Row],[Passif ?]],"&lt;span class=""passive""&gt;Action passive&lt;/span&gt;","")</f>
        <v/>
      </c>
      <c r="U32" s="6" t="str">
        <f>IF(ISBLANK(Tableau1[[#This Row],[Profil]]),"",CONCATENATE("&lt;span class=""profil""&gt;Profil ",Tableau1[[#This Row],[Profil]],"&lt;/span&gt;"))</f>
        <v/>
      </c>
      <c r="V32" s="6" t="str">
        <f>IF(Tableau1[[#This Row],[Innée ?]],"&lt;span class=""innee""&gt;Action innée&lt;/span&gt;","")</f>
        <v/>
      </c>
      <c r="W32" s="6" t="str">
        <f>IF(Tableau1[[#This Row],[Niveau]]&gt;0,CONCATENATE("&lt;span class=""apprentissage""&gt;Apprentissage : &lt;span&gt;",Tableau1[[#This Row],[Caractéristique]], " ",Tableau1[[#This Row],[Apprentissage]],"&lt;/span&gt;&lt;/span&gt;"),"")</f>
        <v>&lt;span class="apprentissage"&gt;Apprentissage : &lt;span&gt;Adresse 10&lt;/span&gt;&lt;/span&gt;</v>
      </c>
      <c r="X32" s="6" t="s">
        <v>67</v>
      </c>
      <c r="Y32" s="6" t="str">
        <f>CONCATENATE("&lt;p&gt;Exécution : &lt;span&gt;", IF(Tableau1[[#This Row],[Exécution]]&gt;0,Tableau1[[#This Row],[Exécution]],"-"), "&lt;/span&gt;&lt;/p&gt;")</f>
        <v>&lt;p&gt;Exécution : &lt;span&gt;-&lt;/span&gt;&lt;/p&gt;</v>
      </c>
      <c r="Z32" s="6" t="str">
        <f>CONCATENATE("&lt;p&gt;Souffle : &lt;span class=""jauge""&gt;", IF(Tableau1[[#This Row],[Souffle]]&gt;0,Tableau1[[#This Row],[Souffle]],"-"), "&lt;/span&gt;&lt;/p&gt;")</f>
        <v>&lt;p&gt;Souffle : &lt;span class="jauge"&gt;-&lt;/span&gt;&lt;/p&gt;</v>
      </c>
      <c r="AA32" s="6" t="str">
        <f>CONCATENATE("&lt;p&gt;Concentration : &lt;span class=""jauge""&gt;",IF(Tableau1[[#This Row],[Concentration]]&gt;0,Tableau1[[#This Row],[Concentration]],"-"), "&lt;/span&gt;&lt;/p&gt;")</f>
        <v>&lt;p&gt;Concentration : &lt;span class="jauge"&gt;1&lt;/span&gt;&lt;/p&gt;</v>
      </c>
      <c r="AB32" s="6" t="str">
        <f>IF(Tableau1[[#This Row],[Adrénaline]]&gt;0,CONCATENATE("&lt;p&gt;Adrénaline : &lt;span class=""jauge""&gt;", Tableau1[[#This Row],[Adrénaline]], "&lt;/span&gt;&lt;/p&gt;"),"")</f>
        <v/>
      </c>
      <c r="AC32" s="6" t="s">
        <v>50</v>
      </c>
      <c r="AD32" s="6" t="str">
        <f>CONCATENATE("&lt;div class=""effets""&gt;",Tableau1[[#This Row],[Effets]],"&lt;/div&gt;")</f>
        <v>&lt;div class="effets"&gt;Avant de tenter une parade contre une attaque au corps à corps, le personnage annonce qu'il va tenter de déstabiliser son adversaire. En cas de succès de la parade, l'adversaire se retrouve &lt;span class="etat"&gt;Déstabilisé&lt;/span&gt;.&lt;/div&gt;</v>
      </c>
      <c r="AE32" s="6" t="s">
        <v>64</v>
      </c>
      <c r="AF32" s="6" t="str">
        <f>CONCATENATE(Tableau1[[#This Row],[HTML_prefix]],Tableau1[[#This Row],[HTML_nom]],Tableau1[[#This Row],[HTML_specs_prefix]],Tableau1[[#This Row],[HTML_passif]],Tableau1[[#This Row],[HTML_profil]],Tableau1[[#This Row],[HTML_innée]],Tableau1[[#This Row],[HTML_apprentissage]],Tableau1[[#This Row],[HTML_specs_col]],Tableau1[[#This Row],[HTML_Execution]],Tableau1[[#This Row],[HTML_Souffle]],Tableau1[[#This Row],[HTML_Concentration]],Tableau1[[#This Row],[HTML_Adrénaline]],Tableau1[[#This Row],[HTML_specs_suffix]],Tableau1[[#This Row],[HTML_effets]],Tableau1[[#This Row],[HTML_suffix]])</f>
        <v>&lt;div class="comp"&gt;&lt;h4 class="nom"&gt;Parade déstabilisante&lt;/h4&gt;&lt;table class="spec"&gt;&lt;tr&gt;&lt;td class="left"&gt;&lt;span class="apprentissage"&gt;Apprentissage : &lt;span&gt;Adresse 10&lt;/span&gt;&lt;/span&gt;&lt;/td&gt;&lt;td class="right"&gt;&lt;p&gt;Exécution : &lt;span&gt;-&lt;/span&gt;&lt;/p&gt;&lt;p&gt;Souffle : &lt;span class="jauge"&gt;-&lt;/span&gt;&lt;/p&gt;&lt;p&gt;Concentration : &lt;span class="jauge"&gt;1&lt;/span&gt;&lt;/p&gt;&lt;/td&gt;&lt;/tr&gt;&lt;/table class=""spec""&gt;&lt;div class="effets"&gt;Avant de tenter une parade contre une attaque au corps à corps, le personnage annonce qu'il va tenter de déstabiliser son adversaire. En cas de succès de la parade, l'adversaire se retrouve &lt;span class="etat"&gt;Déstabilisé&lt;/span&gt;.&lt;/div&gt;&lt;/div&gt;</v>
      </c>
      <c r="AG32" s="8" t="str">
        <f>IF(ISBLANK(Tableau1[[#This Row],[Nom]]),"",IF(B32&lt;&gt;B31,CONCATENATE("&lt;/div&gt;&lt;div class=""voie ",Tableau1[[#This Row],[Caractéristique]],"""&gt;&lt;h3&gt;",Tableau1[[#This Row],[Voie]],"&lt;/h3&gt;",Tableau1[[#This Row],[HTML_ligne]]),Tableau1[[#This Row],[HTML_ligne]]))</f>
        <v>&lt;div class="comp"&gt;&lt;h4 class="nom"&gt;Parade déstabilisante&lt;/h4&gt;&lt;table class="spec"&gt;&lt;tr&gt;&lt;td class="left"&gt;&lt;span class="apprentissage"&gt;Apprentissage : &lt;span&gt;Adresse 10&lt;/span&gt;&lt;/span&gt;&lt;/td&gt;&lt;td class="right"&gt;&lt;p&gt;Exécution : &lt;span&gt;-&lt;/span&gt;&lt;/p&gt;&lt;p&gt;Souffle : &lt;span class="jauge"&gt;-&lt;/span&gt;&lt;/p&gt;&lt;p&gt;Concentration : &lt;span class="jauge"&gt;1&lt;/span&gt;&lt;/p&gt;&lt;/td&gt;&lt;/tr&gt;&lt;/table class=""spec""&gt;&lt;div class="effets"&gt;Avant de tenter une parade contre une attaque au corps à corps, le personnage annonce qu'il va tenter de déstabiliser son adversaire. En cas de succès de la parade, l'adversaire se retrouve &lt;span class="etat"&gt;Déstabilisé&lt;/span&gt;.&lt;/div&gt;&lt;/div&gt;</v>
      </c>
    </row>
    <row r="33" spans="1:33" ht="30" x14ac:dyDescent="0.25">
      <c r="A33" s="12">
        <v>6</v>
      </c>
      <c r="B33" s="3" t="s">
        <v>22</v>
      </c>
      <c r="C33" s="10">
        <v>3</v>
      </c>
      <c r="D33" s="3" t="s">
        <v>196</v>
      </c>
      <c r="E33" s="4">
        <f>IFERROR(VLOOKUP(Tableau1[[#This Row],[Niveau]],Tableau2[],2,FALSE),"")</f>
        <v>20</v>
      </c>
      <c r="F33" s="3" t="s">
        <v>58</v>
      </c>
      <c r="H33" s="10">
        <v>1</v>
      </c>
      <c r="I33" s="10">
        <v>1</v>
      </c>
      <c r="N33" s="4" t="b">
        <f>IF(Tableau1[[#This Row],[Niveau]]=0,TRUE,FALSE)</f>
        <v>0</v>
      </c>
      <c r="O33" s="5" t="s">
        <v>197</v>
      </c>
      <c r="P33" s="3"/>
      <c r="Q33" s="6" t="s">
        <v>65</v>
      </c>
      <c r="R33" s="6" t="str">
        <f>CONCATENATE("&lt;h4 class=""nom""&gt;",Tableau1[[#This Row],[Nom]],"&lt;/h4&gt;")</f>
        <v>&lt;h4 class="nom"&gt;Parade riposte&lt;/h4&gt;</v>
      </c>
      <c r="S33" s="6" t="s">
        <v>66</v>
      </c>
      <c r="T33" s="6" t="str">
        <f>IF(Tableau1[[#This Row],[Passif ?]],"&lt;span class=""passive""&gt;Action passive&lt;/span&gt;","")</f>
        <v/>
      </c>
      <c r="U33" s="6" t="str">
        <f>IF(ISBLANK(Tableau1[[#This Row],[Profil]]),"",CONCATENATE("&lt;span class=""profil""&gt;Profil ",Tableau1[[#This Row],[Profil]],"&lt;/span&gt;"))</f>
        <v/>
      </c>
      <c r="V33" s="6" t="str">
        <f>IF(Tableau1[[#This Row],[Innée ?]],"&lt;span class=""innee""&gt;Action innée&lt;/span&gt;","")</f>
        <v/>
      </c>
      <c r="W33" s="6" t="str">
        <f>IF(Tableau1[[#This Row],[Niveau]]&gt;0,CONCATENATE("&lt;span class=""apprentissage""&gt;Apprentissage : &lt;span&gt;",Tableau1[[#This Row],[Caractéristique]], " ",Tableau1[[#This Row],[Apprentissage]],"&lt;/span&gt;&lt;/span&gt;"),"")</f>
        <v>&lt;span class="apprentissage"&gt;Apprentissage : &lt;span&gt;Adresse 20&lt;/span&gt;&lt;/span&gt;</v>
      </c>
      <c r="X33" s="6" t="s">
        <v>67</v>
      </c>
      <c r="Y33" s="6" t="str">
        <f>CONCATENATE("&lt;p&gt;Exécution : &lt;span&gt;", IF(Tableau1[[#This Row],[Exécution]]&gt;0,Tableau1[[#This Row],[Exécution]],"-"), "&lt;/span&gt;&lt;/p&gt;")</f>
        <v>&lt;p&gt;Exécution : &lt;span&gt;-&lt;/span&gt;&lt;/p&gt;</v>
      </c>
      <c r="Z33" s="6" t="str">
        <f>CONCATENATE("&lt;p&gt;Souffle : &lt;span class=""jauge""&gt;", IF(Tableau1[[#This Row],[Souffle]]&gt;0,Tableau1[[#This Row],[Souffle]],"-"), "&lt;/span&gt;&lt;/p&gt;")</f>
        <v>&lt;p&gt;Souffle : &lt;span class="jauge"&gt;1&lt;/span&gt;&lt;/p&gt;</v>
      </c>
      <c r="AA33" s="6" t="str">
        <f>CONCATENATE("&lt;p&gt;Concentration : &lt;span class=""jauge""&gt;",IF(Tableau1[[#This Row],[Concentration]]&gt;0,Tableau1[[#This Row],[Concentration]],"-"), "&lt;/span&gt;&lt;/p&gt;")</f>
        <v>&lt;p&gt;Concentration : &lt;span class="jauge"&gt;1&lt;/span&gt;&lt;/p&gt;</v>
      </c>
      <c r="AB33" s="6" t="str">
        <f>IF(Tableau1[[#This Row],[Adrénaline]]&gt;0,CONCATENATE("&lt;p&gt;Adrénaline : &lt;span class=""jauge""&gt;", Tableau1[[#This Row],[Adrénaline]], "&lt;/span&gt;&lt;/p&gt;"),"")</f>
        <v/>
      </c>
      <c r="AC33" s="6" t="s">
        <v>50</v>
      </c>
      <c r="AD33" s="6" t="str">
        <f>CONCATENATE("&lt;div class=""effets""&gt;",Tableau1[[#This Row],[Effets]],"&lt;/div&gt;")</f>
        <v>&lt;div class="effets"&gt;Avant de tenter une parade contre une attaque au corps à corps, le personnage annonce qu'il va tenter de riposter. En cas de succès de la parade avec un malus de -5, le personnage enchaine avec une attaque basée sur un profil rapide ou précis et bénéficie d'un bonus de +10 à son attaque.&lt;/div&gt;</v>
      </c>
      <c r="AE33" s="6" t="s">
        <v>64</v>
      </c>
      <c r="AF33" s="6" t="str">
        <f>CONCATENATE(Tableau1[[#This Row],[HTML_prefix]],Tableau1[[#This Row],[HTML_nom]],Tableau1[[#This Row],[HTML_specs_prefix]],Tableau1[[#This Row],[HTML_passif]],Tableau1[[#This Row],[HTML_profil]],Tableau1[[#This Row],[HTML_innée]],Tableau1[[#This Row],[HTML_apprentissage]],Tableau1[[#This Row],[HTML_specs_col]],Tableau1[[#This Row],[HTML_Execution]],Tableau1[[#This Row],[HTML_Souffle]],Tableau1[[#This Row],[HTML_Concentration]],Tableau1[[#This Row],[HTML_Adrénaline]],Tableau1[[#This Row],[HTML_specs_suffix]],Tableau1[[#This Row],[HTML_effets]],Tableau1[[#This Row],[HTML_suffix]])</f>
        <v>&lt;div class="comp"&gt;&lt;h4 class="nom"&gt;Parade riposte&lt;/h4&gt;&lt;table class="spec"&gt;&lt;tr&gt;&lt;td class="left"&gt;&lt;span class="apprentissage"&gt;Apprentissage : &lt;span&gt;Adresse 20&lt;/span&gt;&lt;/span&gt;&lt;/td&gt;&lt;td class="right"&gt;&lt;p&gt;Exécution : &lt;span&gt;-&lt;/span&gt;&lt;/p&gt;&lt;p&gt;Souffle : &lt;span class="jauge"&gt;1&lt;/span&gt;&lt;/p&gt;&lt;p&gt;Concentration : &lt;span class="jauge"&gt;1&lt;/span&gt;&lt;/p&gt;&lt;/td&gt;&lt;/tr&gt;&lt;/table class=""spec""&gt;&lt;div class="effets"&gt;Avant de tenter une parade contre une attaque au corps à corps, le personnage annonce qu'il va tenter de riposter. En cas de succès de la parade avec un malus de -5, le personnage enchaine avec une attaque basée sur un profil rapide ou précis et bénéficie d'un bonus de +10 à son attaque.&lt;/div&gt;&lt;/div&gt;</v>
      </c>
      <c r="AG33" s="8" t="str">
        <f>IF(ISBLANK(Tableau1[[#This Row],[Nom]]),"",IF(B33&lt;&gt;B32,CONCATENATE("&lt;/div&gt;&lt;div class=""voie ",Tableau1[[#This Row],[Caractéristique]],"""&gt;&lt;h3&gt;",Tableau1[[#This Row],[Voie]],"&lt;/h3&gt;",Tableau1[[#This Row],[HTML_ligne]]),Tableau1[[#This Row],[HTML_ligne]]))</f>
        <v>&lt;div class="comp"&gt;&lt;h4 class="nom"&gt;Parade riposte&lt;/h4&gt;&lt;table class="spec"&gt;&lt;tr&gt;&lt;td class="left"&gt;&lt;span class="apprentissage"&gt;Apprentissage : &lt;span&gt;Adresse 20&lt;/span&gt;&lt;/span&gt;&lt;/td&gt;&lt;td class="right"&gt;&lt;p&gt;Exécution : &lt;span&gt;-&lt;/span&gt;&lt;/p&gt;&lt;p&gt;Souffle : &lt;span class="jauge"&gt;1&lt;/span&gt;&lt;/p&gt;&lt;p&gt;Concentration : &lt;span class="jauge"&gt;1&lt;/span&gt;&lt;/p&gt;&lt;/td&gt;&lt;/tr&gt;&lt;/table class=""spec""&gt;&lt;div class="effets"&gt;Avant de tenter une parade contre une attaque au corps à corps, le personnage annonce qu'il va tenter de riposter. En cas de succès de la parade avec un malus de -5, le personnage enchaine avec une attaque basée sur un profil rapide ou précis et bénéficie d'un bonus de +10 à son attaque.&lt;/div&gt;&lt;/div&gt;</v>
      </c>
    </row>
    <row r="34" spans="1:33" ht="45" x14ac:dyDescent="0.25">
      <c r="A34" s="12">
        <v>7</v>
      </c>
      <c r="B34" s="3" t="s">
        <v>23</v>
      </c>
      <c r="C34" s="10">
        <v>0</v>
      </c>
      <c r="D34" s="3" t="s">
        <v>107</v>
      </c>
      <c r="E34" s="4">
        <f>IFERROR(VLOOKUP(Tableau1[[#This Row],[Niveau]],Tableau2[],2,FALSE),"")</f>
        <v>0</v>
      </c>
      <c r="F34" s="3" t="s">
        <v>57</v>
      </c>
      <c r="G34" s="10">
        <v>1</v>
      </c>
      <c r="I34" s="10">
        <v>1</v>
      </c>
      <c r="L34" s="10" t="b">
        <v>1</v>
      </c>
      <c r="N34" s="4" t="b">
        <f>IF(Tableau1[[#This Row],[Niveau]]=0,TRUE,FALSE)</f>
        <v>1</v>
      </c>
      <c r="O34" s="5" t="s">
        <v>97</v>
      </c>
      <c r="P34" s="3"/>
      <c r="Q34" s="6" t="s">
        <v>65</v>
      </c>
      <c r="R34" s="6" t="str">
        <f>CONCATENATE("&lt;h4 class=""nom""&gt;",Tableau1[[#This Row],[Nom]],"&lt;/h4&gt;")</f>
        <v>&lt;h4 class="nom"&gt;Esquiver&lt;/h4&gt;</v>
      </c>
      <c r="S34" s="6" t="s">
        <v>66</v>
      </c>
      <c r="T34" s="6" t="str">
        <f>IF(Tableau1[[#This Row],[Passif ?]],"&lt;span class=""passive""&gt;Action passive&lt;/span&gt;","")</f>
        <v/>
      </c>
      <c r="U34" s="6" t="str">
        <f>IF(ISBLANK(Tableau1[[#This Row],[Profil]]),"",CONCATENATE("&lt;span class=""profil""&gt;Profil ",Tableau1[[#This Row],[Profil]],"&lt;/span&gt;"))</f>
        <v/>
      </c>
      <c r="V34" s="6" t="str">
        <f>IF(Tableau1[[#This Row],[Innée ?]],"&lt;span class=""innee""&gt;Action innée&lt;/span&gt;","")</f>
        <v>&lt;span class="innee"&gt;Action innée&lt;/span&gt;</v>
      </c>
      <c r="W34" s="6" t="str">
        <f>IF(Tableau1[[#This Row],[Niveau]]&gt;0,CONCATENATE("&lt;span class=""apprentissage""&gt;Apprentissage : &lt;span&gt;",Tableau1[[#This Row],[Caractéristique]], " ",Tableau1[[#This Row],[Apprentissage]],"&lt;/span&gt;&lt;/span&gt;"),"")</f>
        <v/>
      </c>
      <c r="X34" s="6" t="s">
        <v>67</v>
      </c>
      <c r="Y34" s="6" t="str">
        <f>CONCATENATE("&lt;p&gt;Exécution : &lt;span&gt;", IF(Tableau1[[#This Row],[Exécution]]&gt;0,Tableau1[[#This Row],[Exécution]],"-"), "&lt;/span&gt;&lt;/p&gt;")</f>
        <v>&lt;p&gt;Exécution : &lt;span&gt;1&lt;/span&gt;&lt;/p&gt;</v>
      </c>
      <c r="Z34" s="6" t="str">
        <f>CONCATENATE("&lt;p&gt;Souffle : &lt;span class=""jauge""&gt;", IF(Tableau1[[#This Row],[Souffle]]&gt;0,Tableau1[[#This Row],[Souffle]],"-"), "&lt;/span&gt;&lt;/p&gt;")</f>
        <v>&lt;p&gt;Souffle : &lt;span class="jauge"&gt;-&lt;/span&gt;&lt;/p&gt;</v>
      </c>
      <c r="AA34" s="6" t="str">
        <f>CONCATENATE("&lt;p&gt;Concentration : &lt;span class=""jauge""&gt;",IF(Tableau1[[#This Row],[Concentration]]&gt;0,Tableau1[[#This Row],[Concentration]],"-"), "&lt;/span&gt;&lt;/p&gt;")</f>
        <v>&lt;p&gt;Concentration : &lt;span class="jauge"&gt;1&lt;/span&gt;&lt;/p&gt;</v>
      </c>
      <c r="AB34" s="6" t="str">
        <f>IF(Tableau1[[#This Row],[Adrénaline]]&gt;0,CONCATENATE("&lt;p&gt;Adrénaline : &lt;span class=""jauge""&gt;", Tableau1[[#This Row],[Adrénaline]], "&lt;/span&gt;&lt;/p&gt;"),"")</f>
        <v/>
      </c>
      <c r="AC34" s="6" t="s">
        <v>50</v>
      </c>
      <c r="AD34" s="6" t="str">
        <f>CONCATENATE("&lt;div class=""effets""&gt;",Tableau1[[#This Row],[Effets]],"&lt;/div&gt;")</f>
        <v>&lt;div class="effets"&gt;Au corps à corps, si le personnage pense pouvoir éviter l’attaque de son adversaire, il peut utiliser une action pour tenter de l’esquiver. Dans ce cas, son score de défense sera égal à sa &lt;span class="stat"&gt;Vivacité&lt;/span&gt; plus un D20.&lt;br /&gt;Si sa défense est plus grande que le score d'attaque, le coup est évité.&lt;br /&gt;Un personnage en armure lourde ne peut pas esquiver.&lt;/div&gt;</v>
      </c>
      <c r="AE34" s="6" t="s">
        <v>64</v>
      </c>
      <c r="AF34" s="6" t="str">
        <f>CONCATENATE(Tableau1[[#This Row],[HTML_prefix]],Tableau1[[#This Row],[HTML_nom]],Tableau1[[#This Row],[HTML_specs_prefix]],Tableau1[[#This Row],[HTML_passif]],Tableau1[[#This Row],[HTML_profil]],Tableau1[[#This Row],[HTML_innée]],Tableau1[[#This Row],[HTML_apprentissage]],Tableau1[[#This Row],[HTML_specs_col]],Tableau1[[#This Row],[HTML_Execution]],Tableau1[[#This Row],[HTML_Souffle]],Tableau1[[#This Row],[HTML_Concentration]],Tableau1[[#This Row],[HTML_Adrénaline]],Tableau1[[#This Row],[HTML_specs_suffix]],Tableau1[[#This Row],[HTML_effets]],Tableau1[[#This Row],[HTML_suffix]])</f>
        <v>&lt;div class="comp"&gt;&lt;h4 class="nom"&gt;Esquiver&lt;/h4&gt;&lt;table class="spec"&gt;&lt;tr&gt;&lt;td class="left"&gt;&lt;span class="innee"&gt;Action innée&lt;/span&gt;&lt;/td&gt;&lt;td class="right"&gt;&lt;p&gt;Exécution : &lt;span&gt;1&lt;/span&gt;&lt;/p&gt;&lt;p&gt;Souffle : &lt;span class="jauge"&gt;-&lt;/span&gt;&lt;/p&gt;&lt;p&gt;Concentration : &lt;span class="jauge"&gt;1&lt;/span&gt;&lt;/p&gt;&lt;/td&gt;&lt;/tr&gt;&lt;/table class=""spec""&gt;&lt;div class="effets"&gt;Au corps à corps, si le personnage pense pouvoir éviter l’attaque de son adversaire, il peut utiliser une action pour tenter de l’esquiver. Dans ce cas, son score de défense sera égal à sa &lt;span class="stat"&gt;Vivacité&lt;/span&gt; plus un D20.&lt;br /&gt;Si sa défense est plus grande que le score d'attaque, le coup est évité.&lt;br /&gt;Un personnage en armure lourde ne peut pas esquiver.&lt;/div&gt;&lt;/div&gt;</v>
      </c>
      <c r="AG34" s="8" t="str">
        <f>IF(ISBLANK(Tableau1[[#This Row],[Nom]]),"",IF(B34&lt;&gt;B33,CONCATENATE("&lt;/div&gt;&lt;div class=""voie ",Tableau1[[#This Row],[Caractéristique]],"""&gt;&lt;h3&gt;",Tableau1[[#This Row],[Voie]],"&lt;/h3&gt;",Tableau1[[#This Row],[HTML_ligne]]),Tableau1[[#This Row],[HTML_ligne]]))</f>
        <v>&lt;/div&gt;&lt;div class="voie Vivacité"&gt;&lt;h3&gt;Esquive&lt;/h3&gt;&lt;div class="comp"&gt;&lt;h4 class="nom"&gt;Esquiver&lt;/h4&gt;&lt;table class="spec"&gt;&lt;tr&gt;&lt;td class="left"&gt;&lt;span class="innee"&gt;Action innée&lt;/span&gt;&lt;/td&gt;&lt;td class="right"&gt;&lt;p&gt;Exécution : &lt;span&gt;1&lt;/span&gt;&lt;/p&gt;&lt;p&gt;Souffle : &lt;span class="jauge"&gt;-&lt;/span&gt;&lt;/p&gt;&lt;p&gt;Concentration : &lt;span class="jauge"&gt;1&lt;/span&gt;&lt;/p&gt;&lt;/td&gt;&lt;/tr&gt;&lt;/table class=""spec""&gt;&lt;div class="effets"&gt;Au corps à corps, si le personnage pense pouvoir éviter l’attaque de son adversaire, il peut utiliser une action pour tenter de l’esquiver. Dans ce cas, son score de défense sera égal à sa &lt;span class="stat"&gt;Vivacité&lt;/span&gt; plus un D20.&lt;br /&gt;Si sa défense est plus grande que le score d'attaque, le coup est évité.&lt;br /&gt;Un personnage en armure lourde ne peut pas esquiver.&lt;/div&gt;&lt;/div&gt;</v>
      </c>
    </row>
    <row r="35" spans="1:33" x14ac:dyDescent="0.25">
      <c r="A35" s="12">
        <v>7</v>
      </c>
      <c r="B35" s="3" t="s">
        <v>23</v>
      </c>
      <c r="C35" s="10">
        <v>1</v>
      </c>
      <c r="D35" s="3" t="s">
        <v>98</v>
      </c>
      <c r="E35" s="4">
        <f>IFERROR(VLOOKUP(Tableau1[[#This Row],[Niveau]],Tableau2[],2,FALSE),"")</f>
        <v>10</v>
      </c>
      <c r="F35" s="3" t="s">
        <v>57</v>
      </c>
      <c r="K35" s="10" t="b">
        <v>1</v>
      </c>
      <c r="N35" s="4" t="b">
        <f>IF(Tableau1[[#This Row],[Niveau]]=0,TRUE,FALSE)</f>
        <v>0</v>
      </c>
      <c r="O35" s="5" t="s">
        <v>99</v>
      </c>
      <c r="P35" s="3"/>
      <c r="Q35" s="6" t="s">
        <v>65</v>
      </c>
      <c r="R35" s="6" t="str">
        <f>CONCATENATE("&lt;h4 class=""nom""&gt;",Tableau1[[#This Row],[Nom]],"&lt;/h4&gt;")</f>
        <v>&lt;h4 class="nom"&gt;Esquive en armure lourde&lt;/h4&gt;</v>
      </c>
      <c r="S35" s="6" t="s">
        <v>66</v>
      </c>
      <c r="T35" s="6" t="str">
        <f>IF(Tableau1[[#This Row],[Passif ?]],"&lt;span class=""passive""&gt;Action passive&lt;/span&gt;","")</f>
        <v>&lt;span class="passive"&gt;Action passive&lt;/span&gt;</v>
      </c>
      <c r="U35" s="6" t="str">
        <f>IF(ISBLANK(Tableau1[[#This Row],[Profil]]),"",CONCATENATE("&lt;span class=""profil""&gt;Profil ",Tableau1[[#This Row],[Profil]],"&lt;/span&gt;"))</f>
        <v/>
      </c>
      <c r="V35" s="6" t="str">
        <f>IF(Tableau1[[#This Row],[Innée ?]],"&lt;span class=""innee""&gt;Action innée&lt;/span&gt;","")</f>
        <v/>
      </c>
      <c r="W35" s="6" t="str">
        <f>IF(Tableau1[[#This Row],[Niveau]]&gt;0,CONCATENATE("&lt;span class=""apprentissage""&gt;Apprentissage : &lt;span&gt;",Tableau1[[#This Row],[Caractéristique]], " ",Tableau1[[#This Row],[Apprentissage]],"&lt;/span&gt;&lt;/span&gt;"),"")</f>
        <v>&lt;span class="apprentissage"&gt;Apprentissage : &lt;span&gt;Vivacité 10&lt;/span&gt;&lt;/span&gt;</v>
      </c>
      <c r="X35" s="6" t="s">
        <v>67</v>
      </c>
      <c r="Y35" s="6" t="str">
        <f>CONCATENATE("&lt;p&gt;Exécution : &lt;span&gt;", IF(Tableau1[[#This Row],[Exécution]]&gt;0,Tableau1[[#This Row],[Exécution]],"-"), "&lt;/span&gt;&lt;/p&gt;")</f>
        <v>&lt;p&gt;Exécution : &lt;span&gt;-&lt;/span&gt;&lt;/p&gt;</v>
      </c>
      <c r="Z35" s="6" t="str">
        <f>CONCATENATE("&lt;p&gt;Souffle : &lt;span class=""jauge""&gt;", IF(Tableau1[[#This Row],[Souffle]]&gt;0,Tableau1[[#This Row],[Souffle]],"-"), "&lt;/span&gt;&lt;/p&gt;")</f>
        <v>&lt;p&gt;Souffle : &lt;span class="jauge"&gt;-&lt;/span&gt;&lt;/p&gt;</v>
      </c>
      <c r="AA35" s="6" t="str">
        <f>CONCATENATE("&lt;p&gt;Concentration : &lt;span class=""jauge""&gt;",IF(Tableau1[[#This Row],[Concentration]]&gt;0,Tableau1[[#This Row],[Concentration]],"-"), "&lt;/span&gt;&lt;/p&gt;")</f>
        <v>&lt;p&gt;Concentration : &lt;span class="jauge"&gt;-&lt;/span&gt;&lt;/p&gt;</v>
      </c>
      <c r="AB35" s="6" t="str">
        <f>IF(Tableau1[[#This Row],[Adrénaline]]&gt;0,CONCATENATE("&lt;p&gt;Adrénaline : &lt;span class=""jauge""&gt;", Tableau1[[#This Row],[Adrénaline]], "&lt;/span&gt;&lt;/p&gt;"),"")</f>
        <v/>
      </c>
      <c r="AC35" s="6" t="s">
        <v>50</v>
      </c>
      <c r="AD35" s="6" t="str">
        <f>CONCATENATE("&lt;div class=""effets""&gt;",Tableau1[[#This Row],[Effets]],"&lt;/div&gt;")</f>
        <v>&lt;div class="effets"&gt;Le personnage peut désormais tenter des esquives en armure lourde. Il subira néanmoins un malus de -4.&lt;/div&gt;</v>
      </c>
      <c r="AE35" s="6" t="s">
        <v>64</v>
      </c>
      <c r="AF35" s="6" t="str">
        <f>CONCATENATE(Tableau1[[#This Row],[HTML_prefix]],Tableau1[[#This Row],[HTML_nom]],Tableau1[[#This Row],[HTML_specs_prefix]],Tableau1[[#This Row],[HTML_passif]],Tableau1[[#This Row],[HTML_profil]],Tableau1[[#This Row],[HTML_innée]],Tableau1[[#This Row],[HTML_apprentissage]],Tableau1[[#This Row],[HTML_specs_col]],Tableau1[[#This Row],[HTML_Execution]],Tableau1[[#This Row],[HTML_Souffle]],Tableau1[[#This Row],[HTML_Concentration]],Tableau1[[#This Row],[HTML_Adrénaline]],Tableau1[[#This Row],[HTML_specs_suffix]],Tableau1[[#This Row],[HTML_effets]],Tableau1[[#This Row],[HTML_suffix]])</f>
        <v>&lt;div class="comp"&gt;&lt;h4 class="nom"&gt;Esquive en armure lourde&lt;/h4&gt;&lt;table class="spec"&gt;&lt;tr&gt;&lt;td class="left"&gt;&lt;span class="passive"&gt;Action passive&lt;/span&gt;&lt;span class="apprentissage"&gt;Apprentissage : &lt;span&gt;Vivacité 10&lt;/span&gt;&lt;/span&gt;&lt;/td&gt;&lt;td class="right"&gt;&lt;p&gt;Exécution : &lt;span&gt;-&lt;/span&gt;&lt;/p&gt;&lt;p&gt;Souffle : &lt;span class="jauge"&gt;-&lt;/span&gt;&lt;/p&gt;&lt;p&gt;Concentration : &lt;span class="jauge"&gt;-&lt;/span&gt;&lt;/p&gt;&lt;/td&gt;&lt;/tr&gt;&lt;/table class=""spec""&gt;&lt;div class="effets"&gt;Le personnage peut désormais tenter des esquives en armure lourde. Il subira néanmoins un malus de -4.&lt;/div&gt;&lt;/div&gt;</v>
      </c>
      <c r="AG35" s="8" t="str">
        <f>IF(ISBLANK(Tableau1[[#This Row],[Nom]]),"",IF(B35&lt;&gt;B34,CONCATENATE("&lt;/div&gt;&lt;div class=""voie ",Tableau1[[#This Row],[Caractéristique]],"""&gt;&lt;h3&gt;",Tableau1[[#This Row],[Voie]],"&lt;/h3&gt;",Tableau1[[#This Row],[HTML_ligne]]),Tableau1[[#This Row],[HTML_ligne]]))</f>
        <v>&lt;div class="comp"&gt;&lt;h4 class="nom"&gt;Esquive en armure lourde&lt;/h4&gt;&lt;table class="spec"&gt;&lt;tr&gt;&lt;td class="left"&gt;&lt;span class="passive"&gt;Action passive&lt;/span&gt;&lt;span class="apprentissage"&gt;Apprentissage : &lt;span&gt;Vivacité 10&lt;/span&gt;&lt;/span&gt;&lt;/td&gt;&lt;td class="right"&gt;&lt;p&gt;Exécution : &lt;span&gt;-&lt;/span&gt;&lt;/p&gt;&lt;p&gt;Souffle : &lt;span class="jauge"&gt;-&lt;/span&gt;&lt;/p&gt;&lt;p&gt;Concentration : &lt;span class="jauge"&gt;-&lt;/span&gt;&lt;/p&gt;&lt;/td&gt;&lt;/tr&gt;&lt;/table class=""spec""&gt;&lt;div class="effets"&gt;Le personnage peut désormais tenter des esquives en armure lourde. Il subira néanmoins un malus de -4.&lt;/div&gt;&lt;/div&gt;</v>
      </c>
    </row>
    <row r="36" spans="1:33" x14ac:dyDescent="0.25">
      <c r="A36" s="12">
        <v>7</v>
      </c>
      <c r="B36" s="3" t="s">
        <v>23</v>
      </c>
      <c r="C36" s="10">
        <v>1</v>
      </c>
      <c r="D36" s="3" t="s">
        <v>119</v>
      </c>
      <c r="E36" s="4">
        <f>IFERROR(VLOOKUP(Tableau1[[#This Row],[Niveau]],Tableau2[],2,FALSE),"")</f>
        <v>10</v>
      </c>
      <c r="F36" s="3" t="s">
        <v>57</v>
      </c>
      <c r="K36" s="10" t="b">
        <v>1</v>
      </c>
      <c r="N36" s="4" t="b">
        <f>IF(Tableau1[[#This Row],[Niveau]]=0,TRUE,FALSE)</f>
        <v>0</v>
      </c>
      <c r="O36" s="5" t="s">
        <v>122</v>
      </c>
      <c r="P36" s="3"/>
      <c r="Q36" s="6" t="s">
        <v>65</v>
      </c>
      <c r="R36" s="6" t="str">
        <f>CONCATENATE("&lt;h4 class=""nom""&gt;",Tableau1[[#This Row],[Nom]],"&lt;/h4&gt;")</f>
        <v>&lt;h4 class="nom"&gt;Maitre de l'esquive&lt;/h4&gt;</v>
      </c>
      <c r="S36" s="6" t="s">
        <v>66</v>
      </c>
      <c r="T36" s="6" t="str">
        <f>IF(Tableau1[[#This Row],[Passif ?]],"&lt;span class=""passive""&gt;Action passive&lt;/span&gt;","")</f>
        <v>&lt;span class="passive"&gt;Action passive&lt;/span&gt;</v>
      </c>
      <c r="U36" s="6" t="str">
        <f>IF(ISBLANK(Tableau1[[#This Row],[Profil]]),"",CONCATENATE("&lt;span class=""profil""&gt;Profil ",Tableau1[[#This Row],[Profil]],"&lt;/span&gt;"))</f>
        <v/>
      </c>
      <c r="V36" s="6" t="str">
        <f>IF(Tableau1[[#This Row],[Innée ?]],"&lt;span class=""innee""&gt;Action innée&lt;/span&gt;","")</f>
        <v/>
      </c>
      <c r="W36" s="6" t="str">
        <f>IF(Tableau1[[#This Row],[Niveau]]&gt;0,CONCATENATE("&lt;span class=""apprentissage""&gt;Apprentissage : &lt;span&gt;",Tableau1[[#This Row],[Caractéristique]], " ",Tableau1[[#This Row],[Apprentissage]],"&lt;/span&gt;&lt;/span&gt;"),"")</f>
        <v>&lt;span class="apprentissage"&gt;Apprentissage : &lt;span&gt;Vivacité 10&lt;/span&gt;&lt;/span&gt;</v>
      </c>
      <c r="X36" s="6" t="s">
        <v>67</v>
      </c>
      <c r="Y36" s="6" t="str">
        <f>CONCATENATE("&lt;p&gt;Exécution : &lt;span&gt;", IF(Tableau1[[#This Row],[Exécution]]&gt;0,Tableau1[[#This Row],[Exécution]],"-"), "&lt;/span&gt;&lt;/p&gt;")</f>
        <v>&lt;p&gt;Exécution : &lt;span&gt;-&lt;/span&gt;&lt;/p&gt;</v>
      </c>
      <c r="Z36" s="6" t="str">
        <f>CONCATENATE("&lt;p&gt;Souffle : &lt;span class=""jauge""&gt;", IF(Tableau1[[#This Row],[Souffle]]&gt;0,Tableau1[[#This Row],[Souffle]],"-"), "&lt;/span&gt;&lt;/p&gt;")</f>
        <v>&lt;p&gt;Souffle : &lt;span class="jauge"&gt;-&lt;/span&gt;&lt;/p&gt;</v>
      </c>
      <c r="AA36" s="6" t="str">
        <f>CONCATENATE("&lt;p&gt;Concentration : &lt;span class=""jauge""&gt;",IF(Tableau1[[#This Row],[Concentration]]&gt;0,Tableau1[[#This Row],[Concentration]],"-"), "&lt;/span&gt;&lt;/p&gt;")</f>
        <v>&lt;p&gt;Concentration : &lt;span class="jauge"&gt;-&lt;/span&gt;&lt;/p&gt;</v>
      </c>
      <c r="AB36" s="6" t="str">
        <f>IF(Tableau1[[#This Row],[Adrénaline]]&gt;0,CONCATENATE("&lt;p&gt;Adrénaline : &lt;span class=""jauge""&gt;", Tableau1[[#This Row],[Adrénaline]], "&lt;/span&gt;&lt;/p&gt;"),"")</f>
        <v/>
      </c>
      <c r="AC36" s="6" t="s">
        <v>50</v>
      </c>
      <c r="AD36" s="6" t="str">
        <f>CONCATENATE("&lt;div class=""effets""&gt;",Tableau1[[#This Row],[Effets]],"&lt;/div&gt;")</f>
        <v>&lt;div class="effets"&gt;Pour chaque niveau dans cette compétence, le personnage gagne un bonus de +2 à ses esquives.&lt;/div&gt;</v>
      </c>
      <c r="AE36" s="6" t="s">
        <v>64</v>
      </c>
      <c r="AF36" s="6" t="str">
        <f>CONCATENATE(Tableau1[[#This Row],[HTML_prefix]],Tableau1[[#This Row],[HTML_nom]],Tableau1[[#This Row],[HTML_specs_prefix]],Tableau1[[#This Row],[HTML_passif]],Tableau1[[#This Row],[HTML_profil]],Tableau1[[#This Row],[HTML_innée]],Tableau1[[#This Row],[HTML_apprentissage]],Tableau1[[#This Row],[HTML_specs_col]],Tableau1[[#This Row],[HTML_Execution]],Tableau1[[#This Row],[HTML_Souffle]],Tableau1[[#This Row],[HTML_Concentration]],Tableau1[[#This Row],[HTML_Adrénaline]],Tableau1[[#This Row],[HTML_specs_suffix]],Tableau1[[#This Row],[HTML_effets]],Tableau1[[#This Row],[HTML_suffix]])</f>
        <v>&lt;div class="comp"&gt;&lt;h4 class="nom"&gt;Maitre de l'esquive&lt;/h4&gt;&lt;table class="spec"&gt;&lt;tr&gt;&lt;td class="left"&gt;&lt;span class="passive"&gt;Action passive&lt;/span&gt;&lt;span class="apprentissage"&gt;Apprentissage : &lt;span&gt;Vivacité 10&lt;/span&gt;&lt;/span&gt;&lt;/td&gt;&lt;td class="right"&gt;&lt;p&gt;Exécution : &lt;span&gt;-&lt;/span&gt;&lt;/p&gt;&lt;p&gt;Souffle : &lt;span class="jauge"&gt;-&lt;/span&gt;&lt;/p&gt;&lt;p&gt;Concentration : &lt;span class="jauge"&gt;-&lt;/span&gt;&lt;/p&gt;&lt;/td&gt;&lt;/tr&gt;&lt;/table class=""spec""&gt;&lt;div class="effets"&gt;Pour chaque niveau dans cette compétence, le personnage gagne un bonus de +2 à ses esquives.&lt;/div&gt;&lt;/div&gt;</v>
      </c>
      <c r="AG36" s="8" t="str">
        <f>IF(ISBLANK(Tableau1[[#This Row],[Nom]]),"",IF(B36&lt;&gt;B35,CONCATENATE("&lt;/div&gt;&lt;div class=""voie ",Tableau1[[#This Row],[Caractéristique]],"""&gt;&lt;h3&gt;",Tableau1[[#This Row],[Voie]],"&lt;/h3&gt;",Tableau1[[#This Row],[HTML_ligne]]),Tableau1[[#This Row],[HTML_ligne]]))</f>
        <v>&lt;div class="comp"&gt;&lt;h4 class="nom"&gt;Maitre de l'esquive&lt;/h4&gt;&lt;table class="spec"&gt;&lt;tr&gt;&lt;td class="left"&gt;&lt;span class="passive"&gt;Action passive&lt;/span&gt;&lt;span class="apprentissage"&gt;Apprentissage : &lt;span&gt;Vivacité 10&lt;/span&gt;&lt;/span&gt;&lt;/td&gt;&lt;td class="right"&gt;&lt;p&gt;Exécution : &lt;span&gt;-&lt;/span&gt;&lt;/p&gt;&lt;p&gt;Souffle : &lt;span class="jauge"&gt;-&lt;/span&gt;&lt;/p&gt;&lt;p&gt;Concentration : &lt;span class="jauge"&gt;-&lt;/span&gt;&lt;/p&gt;&lt;/td&gt;&lt;/tr&gt;&lt;/table class=""spec""&gt;&lt;div class="effets"&gt;Pour chaque niveau dans cette compétence, le personnage gagne un bonus de +2 à ses esquives.&lt;/div&gt;&lt;/div&gt;</v>
      </c>
    </row>
    <row r="37" spans="1:33" ht="30" x14ac:dyDescent="0.25">
      <c r="A37" s="12">
        <v>7</v>
      </c>
      <c r="B37" s="3" t="s">
        <v>23</v>
      </c>
      <c r="C37" s="10">
        <v>2</v>
      </c>
      <c r="D37" s="3" t="s">
        <v>100</v>
      </c>
      <c r="E37" s="4">
        <f>IFERROR(VLOOKUP(Tableau1[[#This Row],[Niveau]],Tableau2[],2,FALSE),"")</f>
        <v>15</v>
      </c>
      <c r="F37" s="3" t="s">
        <v>57</v>
      </c>
      <c r="K37" s="10" t="b">
        <v>1</v>
      </c>
      <c r="N37" s="4" t="b">
        <f>IF(Tableau1[[#This Row],[Niveau]]=0,TRUE,FALSE)</f>
        <v>0</v>
      </c>
      <c r="O37" s="5" t="s">
        <v>101</v>
      </c>
      <c r="P37" s="3"/>
      <c r="Q37" s="6" t="s">
        <v>65</v>
      </c>
      <c r="R37" s="6" t="str">
        <f>CONCATENATE("&lt;h4 class=""nom""&gt;",Tableau1[[#This Row],[Nom]],"&lt;/h4&gt;")</f>
        <v>&lt;h4 class="nom"&gt;Esquive de projectile&lt;/h4&gt;</v>
      </c>
      <c r="S37" s="6" t="s">
        <v>66</v>
      </c>
      <c r="T37" s="6" t="str">
        <f>IF(Tableau1[[#This Row],[Passif ?]],"&lt;span class=""passive""&gt;Action passive&lt;/span&gt;","")</f>
        <v>&lt;span class="passive"&gt;Action passive&lt;/span&gt;</v>
      </c>
      <c r="U37" s="6" t="str">
        <f>IF(ISBLANK(Tableau1[[#This Row],[Profil]]),"",CONCATENATE("&lt;span class=""profil""&gt;Profil ",Tableau1[[#This Row],[Profil]],"&lt;/span&gt;"))</f>
        <v/>
      </c>
      <c r="V37" s="6" t="str">
        <f>IF(Tableau1[[#This Row],[Innée ?]],"&lt;span class=""innee""&gt;Action innée&lt;/span&gt;","")</f>
        <v/>
      </c>
      <c r="W37" s="6" t="str">
        <f>IF(Tableau1[[#This Row],[Niveau]]&gt;0,CONCATENATE("&lt;span class=""apprentissage""&gt;Apprentissage : &lt;span&gt;",Tableau1[[#This Row],[Caractéristique]], " ",Tableau1[[#This Row],[Apprentissage]],"&lt;/span&gt;&lt;/span&gt;"),"")</f>
        <v>&lt;span class="apprentissage"&gt;Apprentissage : &lt;span&gt;Vivacité 15&lt;/span&gt;&lt;/span&gt;</v>
      </c>
      <c r="X37" s="6" t="s">
        <v>67</v>
      </c>
      <c r="Y37" s="6" t="str">
        <f>CONCATENATE("&lt;p&gt;Exécution : &lt;span&gt;", IF(Tableau1[[#This Row],[Exécution]]&gt;0,Tableau1[[#This Row],[Exécution]],"-"), "&lt;/span&gt;&lt;/p&gt;")</f>
        <v>&lt;p&gt;Exécution : &lt;span&gt;-&lt;/span&gt;&lt;/p&gt;</v>
      </c>
      <c r="Z37" s="6" t="str">
        <f>CONCATENATE("&lt;p&gt;Souffle : &lt;span class=""jauge""&gt;", IF(Tableau1[[#This Row],[Souffle]]&gt;0,Tableau1[[#This Row],[Souffle]],"-"), "&lt;/span&gt;&lt;/p&gt;")</f>
        <v>&lt;p&gt;Souffle : &lt;span class="jauge"&gt;-&lt;/span&gt;&lt;/p&gt;</v>
      </c>
      <c r="AA37" s="6" t="str">
        <f>CONCATENATE("&lt;p&gt;Concentration : &lt;span class=""jauge""&gt;",IF(Tableau1[[#This Row],[Concentration]]&gt;0,Tableau1[[#This Row],[Concentration]],"-"), "&lt;/span&gt;&lt;/p&gt;")</f>
        <v>&lt;p&gt;Concentration : &lt;span class="jauge"&gt;-&lt;/span&gt;&lt;/p&gt;</v>
      </c>
      <c r="AB37" s="6" t="str">
        <f>IF(Tableau1[[#This Row],[Adrénaline]]&gt;0,CONCATENATE("&lt;p&gt;Adrénaline : &lt;span class=""jauge""&gt;", Tableau1[[#This Row],[Adrénaline]], "&lt;/span&gt;&lt;/p&gt;"),"")</f>
        <v/>
      </c>
      <c r="AC37" s="6" t="s">
        <v>50</v>
      </c>
      <c r="AD37" s="6" t="str">
        <f>CONCATENATE("&lt;div class=""effets""&gt;",Tableau1[[#This Row],[Effets]],"&lt;/div&gt;")</f>
        <v>&lt;div class="effets"&gt;Si le personnage est la cible d’un projectile, il peut tenter de l’esquiver avec un malus de -4. Il opposera alors sa défense au résultat du test d'&lt;span class="stat"&gt;Adresse&lt;/span&gt; du tireur (ou du test d'&lt;span class="stat"&gt;Intelligence&lt;/span&gt; pour un projectile magique).&lt;/div&gt;</v>
      </c>
      <c r="AE37" s="6" t="s">
        <v>64</v>
      </c>
      <c r="AF37" s="6" t="str">
        <f>CONCATENATE(Tableau1[[#This Row],[HTML_prefix]],Tableau1[[#This Row],[HTML_nom]],Tableau1[[#This Row],[HTML_specs_prefix]],Tableau1[[#This Row],[HTML_passif]],Tableau1[[#This Row],[HTML_profil]],Tableau1[[#This Row],[HTML_innée]],Tableau1[[#This Row],[HTML_apprentissage]],Tableau1[[#This Row],[HTML_specs_col]],Tableau1[[#This Row],[HTML_Execution]],Tableau1[[#This Row],[HTML_Souffle]],Tableau1[[#This Row],[HTML_Concentration]],Tableau1[[#This Row],[HTML_Adrénaline]],Tableau1[[#This Row],[HTML_specs_suffix]],Tableau1[[#This Row],[HTML_effets]],Tableau1[[#This Row],[HTML_suffix]])</f>
        <v>&lt;div class="comp"&gt;&lt;h4 class="nom"&gt;Esquive de projectile&lt;/h4&gt;&lt;table class="spec"&gt;&lt;tr&gt;&lt;td class="left"&gt;&lt;span class="passive"&gt;Action passive&lt;/span&gt;&lt;span class="apprentissage"&gt;Apprentissage : &lt;span&gt;Vivacité 15&lt;/span&gt;&lt;/span&gt;&lt;/td&gt;&lt;td class="right"&gt;&lt;p&gt;Exécution : &lt;span&gt;-&lt;/span&gt;&lt;/p&gt;&lt;p&gt;Souffle : &lt;span class="jauge"&gt;-&lt;/span&gt;&lt;/p&gt;&lt;p&gt;Concentration : &lt;span class="jauge"&gt;-&lt;/span&gt;&lt;/p&gt;&lt;/td&gt;&lt;/tr&gt;&lt;/table class=""spec""&gt;&lt;div class="effets"&gt;Si le personnage est la cible d’un projectile, il peut tenter de l’esquiver avec un malus de -4. Il opposera alors sa défense au résultat du test d'&lt;span class="stat"&gt;Adresse&lt;/span&gt; du tireur (ou du test d'&lt;span class="stat"&gt;Intelligence&lt;/span&gt; pour un projectile magique).&lt;/div&gt;&lt;/div&gt;</v>
      </c>
      <c r="AG37" s="8" t="str">
        <f>IF(ISBLANK(Tableau1[[#This Row],[Nom]]),"",IF(B37&lt;&gt;B36,CONCATENATE("&lt;/div&gt;&lt;div class=""voie ",Tableau1[[#This Row],[Caractéristique]],"""&gt;&lt;h3&gt;",Tableau1[[#This Row],[Voie]],"&lt;/h3&gt;",Tableau1[[#This Row],[HTML_ligne]]),Tableau1[[#This Row],[HTML_ligne]]))</f>
        <v>&lt;div class="comp"&gt;&lt;h4 class="nom"&gt;Esquive de projectile&lt;/h4&gt;&lt;table class="spec"&gt;&lt;tr&gt;&lt;td class="left"&gt;&lt;span class="passive"&gt;Action passive&lt;/span&gt;&lt;span class="apprentissage"&gt;Apprentissage : &lt;span&gt;Vivacité 15&lt;/span&gt;&lt;/span&gt;&lt;/td&gt;&lt;td class="right"&gt;&lt;p&gt;Exécution : &lt;span&gt;-&lt;/span&gt;&lt;/p&gt;&lt;p&gt;Souffle : &lt;span class="jauge"&gt;-&lt;/span&gt;&lt;/p&gt;&lt;p&gt;Concentration : &lt;span class="jauge"&gt;-&lt;/span&gt;&lt;/p&gt;&lt;/td&gt;&lt;/tr&gt;&lt;/table class=""spec""&gt;&lt;div class="effets"&gt;Si le personnage est la cible d’un projectile, il peut tenter de l’esquiver avec un malus de -4. Il opposera alors sa défense au résultat du test d'&lt;span class="stat"&gt;Adresse&lt;/span&gt; du tireur (ou du test d'&lt;span class="stat"&gt;Intelligence&lt;/span&gt; pour un projectile magique).&lt;/div&gt;&lt;/div&gt;</v>
      </c>
    </row>
    <row r="38" spans="1:33" ht="30" x14ac:dyDescent="0.25">
      <c r="A38" s="12">
        <v>7</v>
      </c>
      <c r="B38" s="3" t="s">
        <v>23</v>
      </c>
      <c r="C38" s="10">
        <v>2</v>
      </c>
      <c r="D38" s="3" t="s">
        <v>102</v>
      </c>
      <c r="E38" s="4">
        <f>IFERROR(VLOOKUP(Tableau1[[#This Row],[Niveau]],Tableau2[],2,FALSE),"")</f>
        <v>15</v>
      </c>
      <c r="F38" s="3" t="s">
        <v>57</v>
      </c>
      <c r="G38" s="10">
        <v>1</v>
      </c>
      <c r="H38" s="10">
        <v>1</v>
      </c>
      <c r="I38" s="10">
        <v>1</v>
      </c>
      <c r="L38" s="10" t="b">
        <v>1</v>
      </c>
      <c r="N38" s="4" t="b">
        <f>IF(Tableau1[[#This Row],[Niveau]]=0,TRUE,FALSE)</f>
        <v>0</v>
      </c>
      <c r="O38" s="5" t="s">
        <v>105</v>
      </c>
      <c r="P38" s="3"/>
      <c r="Q38" s="6" t="s">
        <v>65</v>
      </c>
      <c r="R38" s="6" t="str">
        <f>CONCATENATE("&lt;h4 class=""nom""&gt;",Tableau1[[#This Row],[Nom]],"&lt;/h4&gt;")</f>
        <v>&lt;h4 class="nom"&gt;Plongeon&lt;/h4&gt;</v>
      </c>
      <c r="S38" s="6" t="s">
        <v>66</v>
      </c>
      <c r="T38" s="6" t="str">
        <f>IF(Tableau1[[#This Row],[Passif ?]],"&lt;span class=""passive""&gt;Action passive&lt;/span&gt;","")</f>
        <v/>
      </c>
      <c r="U38" s="6" t="str">
        <f>IF(ISBLANK(Tableau1[[#This Row],[Profil]]),"",CONCATENATE("&lt;span class=""profil""&gt;Profil ",Tableau1[[#This Row],[Profil]],"&lt;/span&gt;"))</f>
        <v/>
      </c>
      <c r="V38" s="6" t="str">
        <f>IF(Tableau1[[#This Row],[Innée ?]],"&lt;span class=""innee""&gt;Action innée&lt;/span&gt;","")</f>
        <v/>
      </c>
      <c r="W38" s="6" t="str">
        <f>IF(Tableau1[[#This Row],[Niveau]]&gt;0,CONCATENATE("&lt;span class=""apprentissage""&gt;Apprentissage : &lt;span&gt;",Tableau1[[#This Row],[Caractéristique]], " ",Tableau1[[#This Row],[Apprentissage]],"&lt;/span&gt;&lt;/span&gt;"),"")</f>
        <v>&lt;span class="apprentissage"&gt;Apprentissage : &lt;span&gt;Vivacité 15&lt;/span&gt;&lt;/span&gt;</v>
      </c>
      <c r="X38" s="6" t="s">
        <v>67</v>
      </c>
      <c r="Y38" s="6" t="str">
        <f>CONCATENATE("&lt;p&gt;Exécution : &lt;span&gt;", IF(Tableau1[[#This Row],[Exécution]]&gt;0,Tableau1[[#This Row],[Exécution]],"-"), "&lt;/span&gt;&lt;/p&gt;")</f>
        <v>&lt;p&gt;Exécution : &lt;span&gt;1&lt;/span&gt;&lt;/p&gt;</v>
      </c>
      <c r="Z38" s="6" t="str">
        <f>CONCATENATE("&lt;p&gt;Souffle : &lt;span class=""jauge""&gt;", IF(Tableau1[[#This Row],[Souffle]]&gt;0,Tableau1[[#This Row],[Souffle]],"-"), "&lt;/span&gt;&lt;/p&gt;")</f>
        <v>&lt;p&gt;Souffle : &lt;span class="jauge"&gt;1&lt;/span&gt;&lt;/p&gt;</v>
      </c>
      <c r="AA38" s="6" t="str">
        <f>CONCATENATE("&lt;p&gt;Concentration : &lt;span class=""jauge""&gt;",IF(Tableau1[[#This Row],[Concentration]]&gt;0,Tableau1[[#This Row],[Concentration]],"-"), "&lt;/span&gt;&lt;/p&gt;")</f>
        <v>&lt;p&gt;Concentration : &lt;span class="jauge"&gt;1&lt;/span&gt;&lt;/p&gt;</v>
      </c>
      <c r="AB38" s="6" t="str">
        <f>IF(Tableau1[[#This Row],[Adrénaline]]&gt;0,CONCATENATE("&lt;p&gt;Adrénaline : &lt;span class=""jauge""&gt;", Tableau1[[#This Row],[Adrénaline]], "&lt;/span&gt;&lt;/p&gt;"),"")</f>
        <v/>
      </c>
      <c r="AC38" s="6" t="s">
        <v>50</v>
      </c>
      <c r="AD38" s="6" t="str">
        <f>CONCATENATE("&lt;div class=""effets""&gt;",Tableau1[[#This Row],[Effets]],"&lt;/div&gt;")</f>
        <v>&lt;div class="effets"&gt;Le personnage plonge sur le côté pour éviter l'attaque. Cette action se réalise comme une esquive mais permet en plus au personnage de se déplacer d'1m dans la direction de son choix.&lt;/div&gt;</v>
      </c>
      <c r="AE38" s="6" t="s">
        <v>64</v>
      </c>
      <c r="AF38" s="6" t="str">
        <f>CONCATENATE(Tableau1[[#This Row],[HTML_prefix]],Tableau1[[#This Row],[HTML_nom]],Tableau1[[#This Row],[HTML_specs_prefix]],Tableau1[[#This Row],[HTML_passif]],Tableau1[[#This Row],[HTML_profil]],Tableau1[[#This Row],[HTML_innée]],Tableau1[[#This Row],[HTML_apprentissage]],Tableau1[[#This Row],[HTML_specs_col]],Tableau1[[#This Row],[HTML_Execution]],Tableau1[[#This Row],[HTML_Souffle]],Tableau1[[#This Row],[HTML_Concentration]],Tableau1[[#This Row],[HTML_Adrénaline]],Tableau1[[#This Row],[HTML_specs_suffix]],Tableau1[[#This Row],[HTML_effets]],Tableau1[[#This Row],[HTML_suffix]])</f>
        <v>&lt;div class="comp"&gt;&lt;h4 class="nom"&gt;Plongeon&lt;/h4&gt;&lt;table class="spec"&gt;&lt;tr&gt;&lt;td class="left"&gt;&lt;span class="apprentissage"&gt;Apprentissage : &lt;span&gt;Vivacité 15&lt;/span&gt;&lt;/span&gt;&lt;/td&gt;&lt;td class="right"&gt;&lt;p&gt;Exécution : &lt;span&gt;1&lt;/span&gt;&lt;/p&gt;&lt;p&gt;Souffle : &lt;span class="jauge"&gt;1&lt;/span&gt;&lt;/p&gt;&lt;p&gt;Concentration : &lt;span class="jauge"&gt;1&lt;/span&gt;&lt;/p&gt;&lt;/td&gt;&lt;/tr&gt;&lt;/table class=""spec""&gt;&lt;div class="effets"&gt;Le personnage plonge sur le côté pour éviter l'attaque. Cette action se réalise comme une esquive mais permet en plus au personnage de se déplacer d'1m dans la direction de son choix.&lt;/div&gt;&lt;/div&gt;</v>
      </c>
      <c r="AG38" s="8" t="str">
        <f>IF(ISBLANK(Tableau1[[#This Row],[Nom]]),"",IF(B38&lt;&gt;B37,CONCATENATE("&lt;/div&gt;&lt;div class=""voie ",Tableau1[[#This Row],[Caractéristique]],"""&gt;&lt;h3&gt;",Tableau1[[#This Row],[Voie]],"&lt;/h3&gt;",Tableau1[[#This Row],[HTML_ligne]]),Tableau1[[#This Row],[HTML_ligne]]))</f>
        <v>&lt;div class="comp"&gt;&lt;h4 class="nom"&gt;Plongeon&lt;/h4&gt;&lt;table class="spec"&gt;&lt;tr&gt;&lt;td class="left"&gt;&lt;span class="apprentissage"&gt;Apprentissage : &lt;span&gt;Vivacité 15&lt;/span&gt;&lt;/span&gt;&lt;/td&gt;&lt;td class="right"&gt;&lt;p&gt;Exécution : &lt;span&gt;1&lt;/span&gt;&lt;/p&gt;&lt;p&gt;Souffle : &lt;span class="jauge"&gt;1&lt;/span&gt;&lt;/p&gt;&lt;p&gt;Concentration : &lt;span class="jauge"&gt;1&lt;/span&gt;&lt;/p&gt;&lt;/td&gt;&lt;/tr&gt;&lt;/table class=""spec""&gt;&lt;div class="effets"&gt;Le personnage plonge sur le côté pour éviter l'attaque. Cette action se réalise comme une esquive mais permet en plus au personnage de se déplacer d'1m dans la direction de son choix.&lt;/div&gt;&lt;/div&gt;</v>
      </c>
    </row>
    <row r="39" spans="1:33" ht="375" x14ac:dyDescent="0.25">
      <c r="A39" s="12">
        <v>8</v>
      </c>
      <c r="B39" s="3" t="s">
        <v>21</v>
      </c>
      <c r="C39" s="10">
        <v>0</v>
      </c>
      <c r="D39" s="3" t="s">
        <v>41</v>
      </c>
      <c r="E39" s="4">
        <f>IFERROR(VLOOKUP(Tableau1[[#This Row],[Niveau]],Tableau2[],2,FALSE),"")</f>
        <v>0</v>
      </c>
      <c r="F39" s="3" t="s">
        <v>58</v>
      </c>
      <c r="G39" s="10">
        <v>5</v>
      </c>
      <c r="M39" s="25" t="s">
        <v>38</v>
      </c>
      <c r="N39" s="4" t="b">
        <f>IF(Tableau1[[#This Row],[Niveau]]=0,TRUE,FALSE)</f>
        <v>1</v>
      </c>
      <c r="O39" s="5" t="s">
        <v>94</v>
      </c>
      <c r="P39" s="3"/>
      <c r="Q39" s="6" t="s">
        <v>65</v>
      </c>
      <c r="R39" s="6" t="str">
        <f>CONCATENATE("&lt;h4 class=""nom""&gt;",Tableau1[[#This Row],[Nom]],"&lt;/h4&gt;")</f>
        <v>&lt;h4 class="nom"&gt;Attaque à distance&lt;/h4&gt;</v>
      </c>
      <c r="S39" s="6" t="s">
        <v>66</v>
      </c>
      <c r="T39" s="6" t="str">
        <f>IF(Tableau1[[#This Row],[Passif ?]],"&lt;span class=""passive""&gt;Action passive&lt;/span&gt;","")</f>
        <v/>
      </c>
      <c r="U39" s="6" t="str">
        <f>IF(ISBLANK(Tableau1[[#This Row],[Profil]]),"",CONCATENATE("&lt;span class=""profil""&gt;Profil ",Tableau1[[#This Row],[Profil]],"&lt;/span&gt;"))</f>
        <v>&lt;span class="profil"&gt;Profil Distant&lt;/span&gt;</v>
      </c>
      <c r="V39" s="6" t="str">
        <f>IF(Tableau1[[#This Row],[Innée ?]],"&lt;span class=""innee""&gt;Action innée&lt;/span&gt;","")</f>
        <v>&lt;span class="innee"&gt;Action innée&lt;/span&gt;</v>
      </c>
      <c r="W39" s="6" t="str">
        <f>IF(Tableau1[[#This Row],[Niveau]]&gt;0,CONCATENATE("&lt;span class=""apprentissage""&gt;Apprentissage : &lt;span&gt;",Tableau1[[#This Row],[Caractéristique]], " ",Tableau1[[#This Row],[Apprentissage]],"&lt;/span&gt;&lt;/span&gt;"),"")</f>
        <v/>
      </c>
      <c r="X39" s="6" t="s">
        <v>67</v>
      </c>
      <c r="Y39" s="6" t="str">
        <f>CONCATENATE("&lt;p&gt;Exécution : &lt;span&gt;", IF(Tableau1[[#This Row],[Exécution]]&gt;0,Tableau1[[#This Row],[Exécution]],"-"), "&lt;/span&gt;&lt;/p&gt;")</f>
        <v>&lt;p&gt;Exécution : &lt;span&gt;5&lt;/span&gt;&lt;/p&gt;</v>
      </c>
      <c r="Z39" s="6" t="str">
        <f>CONCATENATE("&lt;p&gt;Souffle : &lt;span class=""jauge""&gt;", IF(Tableau1[[#This Row],[Souffle]]&gt;0,Tableau1[[#This Row],[Souffle]],"-"), "&lt;/span&gt;&lt;/p&gt;")</f>
        <v>&lt;p&gt;Souffle : &lt;span class="jauge"&gt;-&lt;/span&gt;&lt;/p&gt;</v>
      </c>
      <c r="AA39" s="6" t="str">
        <f>CONCATENATE("&lt;p&gt;Concentration : &lt;span class=""jauge""&gt;",IF(Tableau1[[#This Row],[Concentration]]&gt;0,Tableau1[[#This Row],[Concentration]],"-"), "&lt;/span&gt;&lt;/p&gt;")</f>
        <v>&lt;p&gt;Concentration : &lt;span class="jauge"&gt;-&lt;/span&gt;&lt;/p&gt;</v>
      </c>
      <c r="AB39" s="6" t="str">
        <f>IF(Tableau1[[#This Row],[Adrénaline]]&gt;0,CONCATENATE("&lt;p&gt;Adrénaline : &lt;span class=""jauge""&gt;", Tableau1[[#This Row],[Adrénaline]], "&lt;/span&gt;&lt;/p&gt;"),"")</f>
        <v/>
      </c>
      <c r="AC39" s="6" t="s">
        <v>50</v>
      </c>
      <c r="AD39" s="6" t="str">
        <f>CONCATENATE("&lt;div class=""effets""&gt;",Tableau1[[#This Row],[Effets]],"&lt;/div&gt;")</f>
        <v>&lt;div class="effets"&gt;Le personnage utilise une arme à projectile (arc, javelot, ou tout autre arme improvisée) pour atteindre un ennemi à distance. Pour déterminer s’il touche, il doit réussir un test d’&lt;span class="stat"&gt;Adresse&lt;/span&gt; à 20 avec les bonus/malus suivants :
    &lt;br /&gt;
    &lt;table class="tab_reset stab1"&gt;
     &lt;tr&gt;&lt;th&gt;Situation&lt;/th&gt;&lt;th&gt;Bonus/malus&lt;/th&gt;&lt;/tr&gt;
     &lt;tr&gt;&lt;td&gt;Cible à courte portée*&lt;/td&gt;&lt;td&gt;+4&lt;/td&gt;&lt;/tr&gt;
     &lt;tr&gt;&lt;td&gt;Cible en mouvement**&lt;/td&gt;&lt;td&gt;-4&lt;/td&gt;&lt;/tr&gt;
     &lt;tr&gt;&lt;td&gt;Cible de grande taille&lt;/td&gt;&lt;td&gt;+4&lt;/td&gt;&lt;/tr&gt;
     &lt;tr&gt;&lt;td&gt;Cible sprintant&lt;/td&gt;&lt;td&gt;-6&lt;/td&gt;&lt;/tr&gt;
     &lt;tr&gt;&lt;td&gt;Cible zigzagant&lt;/td&gt;&lt;td&gt;-10&lt;/td&gt;&lt;/tr&gt;
     &lt;tr&gt;&lt;td&gt;Cible agenouillée&lt;/td&gt;&lt;td&gt;-2&lt;/td&gt;&lt;/tr&gt;
     &lt;tr&gt;&lt;td&gt;Cible allongée&lt;/td&gt;&lt;td&gt;-4&lt;/td&gt;&lt;/tr&gt;
     &lt;tr&gt;&lt;td&gt;Cible de petite taille&lt;/td&gt;&lt;td&gt;-4&lt;/td&gt;&lt;/tr&gt;
     &lt;tr&gt;&lt;td&gt;Tirer au corps à corps&lt;/td&gt;&lt;td&gt;-6&lt;/td&gt;&lt;/tr&gt;
     &lt;tr&gt;&lt;td&gt;Cible à couvert&lt;/td&gt;&lt;td&gt;-6***&lt;/td&gt;&lt;/tr&gt;
    &lt;/table&gt;
    &lt;i&gt;* est considéré comme à courte portée si la cible est à moins de 10m du tireur.&lt;/i&gt;&lt;br /&gt;
    &lt;i&gt;** est considéré comme en mouvement tout personnage ayant passé sa dernière action à se déplacer.&lt;/i&gt;
    &lt;i&gt;*** valeur à adapter par le mj selon l'importance du couvert. Un malus de -6 correspond à une cible ayant 50% de son corps protégé par un élément.&lt;/i&gt;
    &lt;br /&gt;
    &lt;br /&gt;
    Une fois la cible touchée, la résolution des dégâts est identique à une attaque au corps à corps (localisation, armure, …) en utilisant les dégâts du profil distance.&lt;/div&gt;</v>
      </c>
      <c r="AE39" s="6" t="s">
        <v>64</v>
      </c>
      <c r="AF39" s="6" t="str">
        <f>CONCATENATE(Tableau1[[#This Row],[HTML_prefix]],Tableau1[[#This Row],[HTML_nom]],Tableau1[[#This Row],[HTML_specs_prefix]],Tableau1[[#This Row],[HTML_passif]],Tableau1[[#This Row],[HTML_profil]],Tableau1[[#This Row],[HTML_innée]],Tableau1[[#This Row],[HTML_apprentissage]],Tableau1[[#This Row],[HTML_specs_col]],Tableau1[[#This Row],[HTML_Execution]],Tableau1[[#This Row],[HTML_Souffle]],Tableau1[[#This Row],[HTML_Concentration]],Tableau1[[#This Row],[HTML_Adrénaline]],Tableau1[[#This Row],[HTML_specs_suffix]],Tableau1[[#This Row],[HTML_effets]],Tableau1[[#This Row],[HTML_suffix]])</f>
        <v>&lt;div class="comp"&gt;&lt;h4 class="nom"&gt;Attaque à distance&lt;/h4&gt;&lt;table class="spec"&gt;&lt;tr&gt;&lt;td class="left"&gt;&lt;span class="profil"&gt;Profil Distant&lt;/span&gt;&lt;span class="innee"&gt;Action innée&lt;/span&gt;&lt;/td&gt;&lt;td class="right"&gt;&lt;p&gt;Exécution : &lt;span&gt;5&lt;/span&gt;&lt;/p&gt;&lt;p&gt;Souffle : &lt;span class="jauge"&gt;-&lt;/span&gt;&lt;/p&gt;&lt;p&gt;Concentration : &lt;span class="jauge"&gt;-&lt;/span&gt;&lt;/p&gt;&lt;/td&gt;&lt;/tr&gt;&lt;/table class=""spec""&gt;&lt;div class="effets"&gt;Le personnage utilise une arme à projectile (arc, javelot, ou tout autre arme improvisée) pour atteindre un ennemi à distance. Pour déterminer s’il touche, il doit réussir un test d’&lt;span class="stat"&gt;Adresse&lt;/span&gt; à 20 avec les bonus/malus suivants :
    &lt;br /&gt;
    &lt;table class="tab_reset stab1"&gt;
     &lt;tr&gt;&lt;th&gt;Situation&lt;/th&gt;&lt;th&gt;Bonus/malus&lt;/th&gt;&lt;/tr&gt;
     &lt;tr&gt;&lt;td&gt;Cible à courte portée*&lt;/td&gt;&lt;td&gt;+4&lt;/td&gt;&lt;/tr&gt;
     &lt;tr&gt;&lt;td&gt;Cible en mouvement**&lt;/td&gt;&lt;td&gt;-4&lt;/td&gt;&lt;/tr&gt;
     &lt;tr&gt;&lt;td&gt;Cible de grande taille&lt;/td&gt;&lt;td&gt;+4&lt;/td&gt;&lt;/tr&gt;
     &lt;tr&gt;&lt;td&gt;Cible sprintant&lt;/td&gt;&lt;td&gt;-6&lt;/td&gt;&lt;/tr&gt;
     &lt;tr&gt;&lt;td&gt;Cible zigzagant&lt;/td&gt;&lt;td&gt;-10&lt;/td&gt;&lt;/tr&gt;
     &lt;tr&gt;&lt;td&gt;Cible agenouillée&lt;/td&gt;&lt;td&gt;-2&lt;/td&gt;&lt;/tr&gt;
     &lt;tr&gt;&lt;td&gt;Cible allongée&lt;/td&gt;&lt;td&gt;-4&lt;/td&gt;&lt;/tr&gt;
     &lt;tr&gt;&lt;td&gt;Cible de petite taille&lt;/td&gt;&lt;td&gt;-4&lt;/td&gt;&lt;/tr&gt;
     &lt;tr&gt;&lt;td&gt;Tirer au corps à corps&lt;/td&gt;&lt;td&gt;-6&lt;/td&gt;&lt;/tr&gt;
     &lt;tr&gt;&lt;td&gt;Cible à couvert&lt;/td&gt;&lt;td&gt;-6***&lt;/td&gt;&lt;/tr&gt;
    &lt;/table&gt;
    &lt;i&gt;* est considéré comme à courte portée si la cible est à moins de 10m du tireur.&lt;/i&gt;&lt;br /&gt;
    &lt;i&gt;** est considéré comme en mouvement tout personnage ayant passé sa dernière action à se déplacer.&lt;/i&gt;
    &lt;i&gt;*** valeur à adapter par le mj selon l'importance du couvert. Un malus de -6 correspond à une cible ayant 50% de son corps protégé par un élément.&lt;/i&gt;
    &lt;br /&gt;
    &lt;br /&gt;
    Une fois la cible touchée, la résolution des dégâts est identique à une attaque au corps à corps (localisation, armure, …) en utilisant les dégâts du profil distance.&lt;/div&gt;&lt;/div&gt;</v>
      </c>
      <c r="AG39" s="8" t="str">
        <f>IF(ISBLANK(Tableau1[[#This Row],[Nom]]),"",IF(B39&lt;&gt;B38,CONCATENATE("&lt;/div&gt;&lt;div class=""voie ",Tableau1[[#This Row],[Caractéristique]],"""&gt;&lt;h3&gt;",Tableau1[[#This Row],[Voie]],"&lt;/h3&gt;",Tableau1[[#This Row],[HTML_ligne]]),Tableau1[[#This Row],[HTML_ligne]]))</f>
        <v>&lt;/div&gt;&lt;div class="voie Adresse"&gt;&lt;h3&gt;Distance&lt;/h3&gt;&lt;div class="comp"&gt;&lt;h4 class="nom"&gt;Attaque à distance&lt;/h4&gt;&lt;table class="spec"&gt;&lt;tr&gt;&lt;td class="left"&gt;&lt;span class="profil"&gt;Profil Distant&lt;/span&gt;&lt;span class="innee"&gt;Action innée&lt;/span&gt;&lt;/td&gt;&lt;td class="right"&gt;&lt;p&gt;Exécution : &lt;span&gt;5&lt;/span&gt;&lt;/p&gt;&lt;p&gt;Souffle : &lt;span class="jauge"&gt;-&lt;/span&gt;&lt;/p&gt;&lt;p&gt;Concentration : &lt;span class="jauge"&gt;-&lt;/span&gt;&lt;/p&gt;&lt;/td&gt;&lt;/tr&gt;&lt;/table class=""spec""&gt;&lt;div class="effets"&gt;Le personnage utilise une arme à projectile (arc, javelot, ou tout autre arme improvisée) pour atteindre un ennemi à distance. Pour déterminer s’il touche, il doit réussir un test d’&lt;span class="stat"&gt;Adresse&lt;/span&gt; à 20 avec les bonus/malus suivants :
    &lt;br /&gt;
    &lt;table class="tab_reset stab1"&gt;
     &lt;tr&gt;&lt;th&gt;Situation&lt;/th&gt;&lt;th&gt;Bonus/malus&lt;/th&gt;&lt;/tr&gt;
     &lt;tr&gt;&lt;td&gt;Cible à courte portée*&lt;/td&gt;&lt;td&gt;+4&lt;/td&gt;&lt;/tr&gt;
     &lt;tr&gt;&lt;td&gt;Cible en mouvement**&lt;/td&gt;&lt;td&gt;-4&lt;/td&gt;&lt;/tr&gt;
     &lt;tr&gt;&lt;td&gt;Cible de grande taille&lt;/td&gt;&lt;td&gt;+4&lt;/td&gt;&lt;/tr&gt;
     &lt;tr&gt;&lt;td&gt;Cible sprintant&lt;/td&gt;&lt;td&gt;-6&lt;/td&gt;&lt;/tr&gt;
     &lt;tr&gt;&lt;td&gt;Cible zigzagant&lt;/td&gt;&lt;td&gt;-10&lt;/td&gt;&lt;/tr&gt;
     &lt;tr&gt;&lt;td&gt;Cible agenouillée&lt;/td&gt;&lt;td&gt;-2&lt;/td&gt;&lt;/tr&gt;
     &lt;tr&gt;&lt;td&gt;Cible allongée&lt;/td&gt;&lt;td&gt;-4&lt;/td&gt;&lt;/tr&gt;
     &lt;tr&gt;&lt;td&gt;Cible de petite taille&lt;/td&gt;&lt;td&gt;-4&lt;/td&gt;&lt;/tr&gt;
     &lt;tr&gt;&lt;td&gt;Tirer au corps à corps&lt;/td&gt;&lt;td&gt;-6&lt;/td&gt;&lt;/tr&gt;
     &lt;tr&gt;&lt;td&gt;Cible à couvert&lt;/td&gt;&lt;td&gt;-6***&lt;/td&gt;&lt;/tr&gt;
    &lt;/table&gt;
    &lt;i&gt;* est considéré comme à courte portée si la cible est à moins de 10m du tireur.&lt;/i&gt;&lt;br /&gt;
    &lt;i&gt;** est considéré comme en mouvement tout personnage ayant passé sa dernière action à se déplacer.&lt;/i&gt;
    &lt;i&gt;*** valeur à adapter par le mj selon l'importance du couvert. Un malus de -6 correspond à une cible ayant 50% de son corps protégé par un élément.&lt;/i&gt;
    &lt;br /&gt;
    &lt;br /&gt;
    Une fois la cible touchée, la résolution des dégâts est identique à une attaque au corps à corps (localisation, armure, …) en utilisant les dégâts du profil distance.&lt;/div&gt;&lt;/div&gt;</v>
      </c>
    </row>
    <row r="40" spans="1:33" x14ac:dyDescent="0.25">
      <c r="A40" s="12">
        <v>8</v>
      </c>
      <c r="B40" s="3" t="s">
        <v>21</v>
      </c>
      <c r="C40" s="10">
        <v>1</v>
      </c>
      <c r="D40" s="3" t="s">
        <v>174</v>
      </c>
      <c r="E40" s="4">
        <f>IFERROR(VLOOKUP(Tableau1[[#This Row],[Niveau]],Tableau2[],2,FALSE),"")</f>
        <v>10</v>
      </c>
      <c r="F40" s="3" t="s">
        <v>58</v>
      </c>
      <c r="G40" s="10">
        <v>6</v>
      </c>
      <c r="I40" s="10">
        <v>2</v>
      </c>
      <c r="L40" s="10" t="b">
        <v>1</v>
      </c>
      <c r="M40" s="25" t="s">
        <v>38</v>
      </c>
      <c r="N40" s="4" t="b">
        <f>IF(Tableau1[[#This Row],[Niveau]]=0,TRUE,FALSE)</f>
        <v>0</v>
      </c>
      <c r="O40" s="5" t="s">
        <v>175</v>
      </c>
      <c r="Q40" s="6" t="s">
        <v>65</v>
      </c>
      <c r="R40" s="6" t="str">
        <f>CONCATENATE("&lt;h4 class=""nom""&gt;",Tableau1[[#This Row],[Nom]],"&lt;/h4&gt;")</f>
        <v>&lt;h4 class="nom"&gt;Tir précis&lt;/h4&gt;</v>
      </c>
      <c r="S40" s="6" t="s">
        <v>66</v>
      </c>
      <c r="T40" s="6" t="str">
        <f>IF(Tableau1[[#This Row],[Passif ?]],"&lt;span class=""passive""&gt;Action passive&lt;/span&gt;","")</f>
        <v/>
      </c>
      <c r="U40" s="6" t="str">
        <f>IF(ISBLANK(Tableau1[[#This Row],[Profil]]),"",CONCATENATE("&lt;span class=""profil""&gt;Profil ",Tableau1[[#This Row],[Profil]],"&lt;/span&gt;"))</f>
        <v>&lt;span class="profil"&gt;Profil Distant&lt;/span&gt;</v>
      </c>
      <c r="V40" s="6" t="str">
        <f>IF(Tableau1[[#This Row],[Innée ?]],"&lt;span class=""innee""&gt;Action innée&lt;/span&gt;","")</f>
        <v/>
      </c>
      <c r="W40" s="6" t="str">
        <f>IF(Tableau1[[#This Row],[Niveau]]&gt;0,CONCATENATE("&lt;span class=""apprentissage""&gt;Apprentissage : &lt;span&gt;",Tableau1[[#This Row],[Caractéristique]], " ",Tableau1[[#This Row],[Apprentissage]],"&lt;/span&gt;&lt;/span&gt;"),"")</f>
        <v>&lt;span class="apprentissage"&gt;Apprentissage : &lt;span&gt;Adresse 10&lt;/span&gt;&lt;/span&gt;</v>
      </c>
      <c r="X40" s="6" t="s">
        <v>67</v>
      </c>
      <c r="Y40" s="6" t="str">
        <f>CONCATENATE("&lt;p&gt;Exécution : &lt;span&gt;", IF(Tableau1[[#This Row],[Exécution]]&gt;0,Tableau1[[#This Row],[Exécution]],"-"), "&lt;/span&gt;&lt;/p&gt;")</f>
        <v>&lt;p&gt;Exécution : &lt;span&gt;6&lt;/span&gt;&lt;/p&gt;</v>
      </c>
      <c r="Z40" s="6" t="str">
        <f>CONCATENATE("&lt;p&gt;Souffle : &lt;span class=""jauge""&gt;", IF(Tableau1[[#This Row],[Souffle]]&gt;0,Tableau1[[#This Row],[Souffle]],"-"), "&lt;/span&gt;&lt;/p&gt;")</f>
        <v>&lt;p&gt;Souffle : &lt;span class="jauge"&gt;-&lt;/span&gt;&lt;/p&gt;</v>
      </c>
      <c r="AA40" s="6" t="str">
        <f>CONCATENATE("&lt;p&gt;Concentration : &lt;span class=""jauge""&gt;",IF(Tableau1[[#This Row],[Concentration]]&gt;0,Tableau1[[#This Row],[Concentration]],"-"), "&lt;/span&gt;&lt;/p&gt;")</f>
        <v>&lt;p&gt;Concentration : &lt;span class="jauge"&gt;2&lt;/span&gt;&lt;/p&gt;</v>
      </c>
      <c r="AB40" s="6" t="str">
        <f>IF(Tableau1[[#This Row],[Adrénaline]]&gt;0,CONCATENATE("&lt;p&gt;Adrénaline : &lt;span class=""jauge""&gt;", Tableau1[[#This Row],[Adrénaline]], "&lt;/span&gt;&lt;/p&gt;"),"")</f>
        <v/>
      </c>
      <c r="AC40" s="6" t="s">
        <v>50</v>
      </c>
      <c r="AD40" s="6" t="str">
        <f>CONCATENATE("&lt;div class=""effets""&gt;",Tableau1[[#This Row],[Effets]],"&lt;/div&gt;")</f>
        <v>&lt;div class="effets"&gt;Sur ce tir, le personnage ignore le malus pour toucher le plus impactant.&lt;/div&gt;</v>
      </c>
      <c r="AE40" s="6" t="s">
        <v>64</v>
      </c>
      <c r="AF40" s="6" t="str">
        <f>CONCATENATE(Tableau1[[#This Row],[HTML_prefix]],Tableau1[[#This Row],[HTML_nom]],Tableau1[[#This Row],[HTML_specs_prefix]],Tableau1[[#This Row],[HTML_passif]],Tableau1[[#This Row],[HTML_profil]],Tableau1[[#This Row],[HTML_innée]],Tableau1[[#This Row],[HTML_apprentissage]],Tableau1[[#This Row],[HTML_specs_col]],Tableau1[[#This Row],[HTML_Execution]],Tableau1[[#This Row],[HTML_Souffle]],Tableau1[[#This Row],[HTML_Concentration]],Tableau1[[#This Row],[HTML_Adrénaline]],Tableau1[[#This Row],[HTML_specs_suffix]],Tableau1[[#This Row],[HTML_effets]],Tableau1[[#This Row],[HTML_suffix]])</f>
        <v>&lt;div class="comp"&gt;&lt;h4 class="nom"&gt;Tir précis&lt;/h4&gt;&lt;table class="spec"&gt;&lt;tr&gt;&lt;td class="left"&gt;&lt;span class="profil"&gt;Profil Distant&lt;/span&gt;&lt;span class="apprentissage"&gt;Apprentissage : &lt;span&gt;Adresse 10&lt;/span&gt;&lt;/span&gt;&lt;/td&gt;&lt;td class="right"&gt;&lt;p&gt;Exécution : &lt;span&gt;6&lt;/span&gt;&lt;/p&gt;&lt;p&gt;Souffle : &lt;span class="jauge"&gt;-&lt;/span&gt;&lt;/p&gt;&lt;p&gt;Concentration : &lt;span class="jauge"&gt;2&lt;/span&gt;&lt;/p&gt;&lt;/td&gt;&lt;/tr&gt;&lt;/table class=""spec""&gt;&lt;div class="effets"&gt;Sur ce tir, le personnage ignore le malus pour toucher le plus impactant.&lt;/div&gt;&lt;/div&gt;</v>
      </c>
      <c r="AG40" s="8" t="str">
        <f>IF(ISBLANK(Tableau1[[#This Row],[Nom]]),"",IF(B40&lt;&gt;B39,CONCATENATE("&lt;/div&gt;&lt;div class=""voie ",Tableau1[[#This Row],[Caractéristique]],"""&gt;&lt;h3&gt;",Tableau1[[#This Row],[Voie]],"&lt;/h3&gt;",Tableau1[[#This Row],[HTML_ligne]]),Tableau1[[#This Row],[HTML_ligne]]))</f>
        <v>&lt;div class="comp"&gt;&lt;h4 class="nom"&gt;Tir précis&lt;/h4&gt;&lt;table class="spec"&gt;&lt;tr&gt;&lt;td class="left"&gt;&lt;span class="profil"&gt;Profil Distant&lt;/span&gt;&lt;span class="apprentissage"&gt;Apprentissage : &lt;span&gt;Adresse 10&lt;/span&gt;&lt;/span&gt;&lt;/td&gt;&lt;td class="right"&gt;&lt;p&gt;Exécution : &lt;span&gt;6&lt;/span&gt;&lt;/p&gt;&lt;p&gt;Souffle : &lt;span class="jauge"&gt;-&lt;/span&gt;&lt;/p&gt;&lt;p&gt;Concentration : &lt;span class="jauge"&gt;2&lt;/span&gt;&lt;/p&gt;&lt;/td&gt;&lt;/tr&gt;&lt;/table class=""spec""&gt;&lt;div class="effets"&gt;Sur ce tir, le personnage ignore le malus pour toucher le plus impactant.&lt;/div&gt;&lt;/div&gt;</v>
      </c>
    </row>
    <row r="41" spans="1:33" x14ac:dyDescent="0.25">
      <c r="A41" s="12">
        <v>8</v>
      </c>
      <c r="B41" s="3" t="s">
        <v>21</v>
      </c>
      <c r="C41" s="10">
        <v>1</v>
      </c>
      <c r="D41" s="3" t="s">
        <v>95</v>
      </c>
      <c r="E41" s="4">
        <f>IFERROR(VLOOKUP(Tableau1[[#This Row],[Niveau]],Tableau2[],2,FALSE),"")</f>
        <v>10</v>
      </c>
      <c r="F41" s="3" t="s">
        <v>58</v>
      </c>
      <c r="K41" s="10" t="b">
        <v>1</v>
      </c>
      <c r="N41" s="4" t="b">
        <f>IF(Tableau1[[#This Row],[Niveau]]=0,TRUE,FALSE)</f>
        <v>0</v>
      </c>
      <c r="O41" s="5" t="s">
        <v>96</v>
      </c>
      <c r="P41" s="3"/>
      <c r="Q41" s="6" t="s">
        <v>65</v>
      </c>
      <c r="R41" s="6" t="str">
        <f>CONCATENATE("&lt;h4 class=""nom""&gt;",Tableau1[[#This Row],[Nom]],"&lt;/h4&gt;")</f>
        <v>&lt;h4 class="nom"&gt;Longue distance&lt;/h4&gt;</v>
      </c>
      <c r="S41" s="6" t="s">
        <v>66</v>
      </c>
      <c r="T41" s="6" t="str">
        <f>IF(Tableau1[[#This Row],[Passif ?]],"&lt;span class=""passive""&gt;Action passive&lt;/span&gt;","")</f>
        <v>&lt;span class="passive"&gt;Action passive&lt;/span&gt;</v>
      </c>
      <c r="U41" s="6" t="str">
        <f>IF(ISBLANK(Tableau1[[#This Row],[Profil]]),"",CONCATENATE("&lt;span class=""profil""&gt;Profil ",Tableau1[[#This Row],[Profil]],"&lt;/span&gt;"))</f>
        <v/>
      </c>
      <c r="V41" s="6" t="str">
        <f>IF(Tableau1[[#This Row],[Innée ?]],"&lt;span class=""innee""&gt;Action innée&lt;/span&gt;","")</f>
        <v/>
      </c>
      <c r="W41" s="6" t="str">
        <f>IF(Tableau1[[#This Row],[Niveau]]&gt;0,CONCATENATE("&lt;span class=""apprentissage""&gt;Apprentissage : &lt;span&gt;",Tableau1[[#This Row],[Caractéristique]], " ",Tableau1[[#This Row],[Apprentissage]],"&lt;/span&gt;&lt;/span&gt;"),"")</f>
        <v>&lt;span class="apprentissage"&gt;Apprentissage : &lt;span&gt;Adresse 10&lt;/span&gt;&lt;/span&gt;</v>
      </c>
      <c r="X41" s="6" t="s">
        <v>67</v>
      </c>
      <c r="Y41" s="6" t="str">
        <f>CONCATENATE("&lt;p&gt;Exécution : &lt;span&gt;", IF(Tableau1[[#This Row],[Exécution]]&gt;0,Tableau1[[#This Row],[Exécution]],"-"), "&lt;/span&gt;&lt;/p&gt;")</f>
        <v>&lt;p&gt;Exécution : &lt;span&gt;-&lt;/span&gt;&lt;/p&gt;</v>
      </c>
      <c r="Z41" s="6" t="str">
        <f>CONCATENATE("&lt;p&gt;Souffle : &lt;span class=""jauge""&gt;", IF(Tableau1[[#This Row],[Souffle]]&gt;0,Tableau1[[#This Row],[Souffle]],"-"), "&lt;/span&gt;&lt;/p&gt;")</f>
        <v>&lt;p&gt;Souffle : &lt;span class="jauge"&gt;-&lt;/span&gt;&lt;/p&gt;</v>
      </c>
      <c r="AA41" s="6" t="str">
        <f>CONCATENATE("&lt;p&gt;Concentration : &lt;span class=""jauge""&gt;",IF(Tableau1[[#This Row],[Concentration]]&gt;0,Tableau1[[#This Row],[Concentration]],"-"), "&lt;/span&gt;&lt;/p&gt;")</f>
        <v>&lt;p&gt;Concentration : &lt;span class="jauge"&gt;-&lt;/span&gt;&lt;/p&gt;</v>
      </c>
      <c r="AB41" s="6" t="str">
        <f>IF(Tableau1[[#This Row],[Adrénaline]]&gt;0,CONCATENATE("&lt;p&gt;Adrénaline : &lt;span class=""jauge""&gt;", Tableau1[[#This Row],[Adrénaline]], "&lt;/span&gt;&lt;/p&gt;"),"")</f>
        <v/>
      </c>
      <c r="AC41" s="6" t="s">
        <v>50</v>
      </c>
      <c r="AD41" s="6" t="str">
        <f>CONCATENATE("&lt;div class=""effets""&gt;",Tableau1[[#This Row],[Effets]],"&lt;/div&gt;")</f>
        <v>&lt;div class="effets"&gt;La distance de la courte portée passe à 20m.&lt;/div&gt;</v>
      </c>
      <c r="AE41" s="6" t="s">
        <v>64</v>
      </c>
      <c r="AF41" s="6" t="str">
        <f>CONCATENATE(Tableau1[[#This Row],[HTML_prefix]],Tableau1[[#This Row],[HTML_nom]],Tableau1[[#This Row],[HTML_specs_prefix]],Tableau1[[#This Row],[HTML_passif]],Tableau1[[#This Row],[HTML_profil]],Tableau1[[#This Row],[HTML_innée]],Tableau1[[#This Row],[HTML_apprentissage]],Tableau1[[#This Row],[HTML_specs_col]],Tableau1[[#This Row],[HTML_Execution]],Tableau1[[#This Row],[HTML_Souffle]],Tableau1[[#This Row],[HTML_Concentration]],Tableau1[[#This Row],[HTML_Adrénaline]],Tableau1[[#This Row],[HTML_specs_suffix]],Tableau1[[#This Row],[HTML_effets]],Tableau1[[#This Row],[HTML_suffix]])</f>
        <v>&lt;div class="comp"&gt;&lt;h4 class="nom"&gt;Longue distance&lt;/h4&gt;&lt;table class="spec"&gt;&lt;tr&gt;&lt;td class="left"&gt;&lt;span class="passive"&gt;Action passive&lt;/span&gt;&lt;span class="apprentissage"&gt;Apprentissage : &lt;span&gt;Adresse 10&lt;/span&gt;&lt;/span&gt;&lt;/td&gt;&lt;td class="right"&gt;&lt;p&gt;Exécution : &lt;span&gt;-&lt;/span&gt;&lt;/p&gt;&lt;p&gt;Souffle : &lt;span class="jauge"&gt;-&lt;/span&gt;&lt;/p&gt;&lt;p&gt;Concentration : &lt;span class="jauge"&gt;-&lt;/span&gt;&lt;/p&gt;&lt;/td&gt;&lt;/tr&gt;&lt;/table class=""spec""&gt;&lt;div class="effets"&gt;La distance de la courte portée passe à 20m.&lt;/div&gt;&lt;/div&gt;</v>
      </c>
      <c r="AG41" s="8" t="str">
        <f>IF(ISBLANK(Tableau1[[#This Row],[Nom]]),"",IF(B41&lt;&gt;B40,CONCATENATE("&lt;/div&gt;&lt;div class=""voie ",Tableau1[[#This Row],[Caractéristique]],"""&gt;&lt;h3&gt;",Tableau1[[#This Row],[Voie]],"&lt;/h3&gt;",Tableau1[[#This Row],[HTML_ligne]]),Tableau1[[#This Row],[HTML_ligne]]))</f>
        <v>&lt;div class="comp"&gt;&lt;h4 class="nom"&gt;Longue distance&lt;/h4&gt;&lt;table class="spec"&gt;&lt;tr&gt;&lt;td class="left"&gt;&lt;span class="passive"&gt;Action passive&lt;/span&gt;&lt;span class="apprentissage"&gt;Apprentissage : &lt;span&gt;Adresse 10&lt;/span&gt;&lt;/span&gt;&lt;/td&gt;&lt;td class="right"&gt;&lt;p&gt;Exécution : &lt;span&gt;-&lt;/span&gt;&lt;/p&gt;&lt;p&gt;Souffle : &lt;span class="jauge"&gt;-&lt;/span&gt;&lt;/p&gt;&lt;p&gt;Concentration : &lt;span class="jauge"&gt;-&lt;/span&gt;&lt;/p&gt;&lt;/td&gt;&lt;/tr&gt;&lt;/table class=""spec""&gt;&lt;div class="effets"&gt;La distance de la courte portée passe à 20m.&lt;/div&gt;&lt;/div&gt;</v>
      </c>
    </row>
    <row r="42" spans="1:33" x14ac:dyDescent="0.25">
      <c r="A42" s="12">
        <v>8</v>
      </c>
      <c r="B42" s="3" t="s">
        <v>21</v>
      </c>
      <c r="C42" s="10">
        <v>1</v>
      </c>
      <c r="D42" s="3" t="s">
        <v>203</v>
      </c>
      <c r="E42" s="19">
        <f>IFERROR(VLOOKUP(Tableau1[[#This Row],[Niveau]],Tableau2[],2,FALSE),"")</f>
        <v>10</v>
      </c>
      <c r="F42" s="3" t="s">
        <v>58</v>
      </c>
      <c r="G42" s="10">
        <v>5</v>
      </c>
      <c r="I42" s="10">
        <v>1</v>
      </c>
      <c r="L42" s="10" t="b">
        <v>1</v>
      </c>
      <c r="M42" s="25" t="s">
        <v>38</v>
      </c>
      <c r="N42" s="19" t="b">
        <f>IF(Tableau1[[#This Row],[Niveau]]=0,TRUE,FALSE)</f>
        <v>0</v>
      </c>
      <c r="O42" s="5" t="s">
        <v>204</v>
      </c>
      <c r="R42" s="20" t="str">
        <f>CONCATENATE("&lt;h4 class=""nom""&gt;",Tableau1[[#This Row],[Nom]],"&lt;/h4&gt;")</f>
        <v>&lt;h4 class="nom"&gt;Tir rapide&lt;/h4&gt;</v>
      </c>
      <c r="S42" s="20"/>
      <c r="T42" s="20" t="str">
        <f>IF(Tableau1[[#This Row],[Passif ?]],"&lt;span class=""passive""&gt;Action passive&lt;/span&gt;","")</f>
        <v/>
      </c>
      <c r="U42" s="20" t="str">
        <f>IF(ISBLANK(Tableau1[[#This Row],[Profil]]),"",CONCATENATE("&lt;span class=""profil""&gt;Profil ",Tableau1[[#This Row],[Profil]],"&lt;/span&gt;"))</f>
        <v>&lt;span class="profil"&gt;Profil Distant&lt;/span&gt;</v>
      </c>
      <c r="V42" s="20" t="str">
        <f>IF(Tableau1[[#This Row],[Innée ?]],"&lt;span class=""innee""&gt;Action innée&lt;/span&gt;","")</f>
        <v/>
      </c>
      <c r="W42" s="20" t="str">
        <f>IF(Tableau1[[#This Row],[Niveau]]&gt;0,CONCATENATE("&lt;span class=""apprentissage""&gt;Apprentissage : &lt;span&gt;",Tableau1[[#This Row],[Caractéristique]], " ",Tableau1[[#This Row],[Apprentissage]],"&lt;/span&gt;&lt;/span&gt;"),"")</f>
        <v>&lt;span class="apprentissage"&gt;Apprentissage : &lt;span&gt;Adresse 10&lt;/span&gt;&lt;/span&gt;</v>
      </c>
      <c r="X42" s="20"/>
      <c r="Y42" s="20" t="str">
        <f>CONCATENATE("&lt;p&gt;Exécution : &lt;span&gt;", IF(Tableau1[[#This Row],[Exécution]]&gt;0,Tableau1[[#This Row],[Exécution]],"-"), "&lt;/span&gt;&lt;/p&gt;")</f>
        <v>&lt;p&gt;Exécution : &lt;span&gt;5&lt;/span&gt;&lt;/p&gt;</v>
      </c>
      <c r="Z42" s="20" t="str">
        <f>CONCATENATE("&lt;p&gt;Souffle : &lt;span class=""jauge""&gt;", IF(Tableau1[[#This Row],[Souffle]]&gt;0,Tableau1[[#This Row],[Souffle]],"-"), "&lt;/span&gt;&lt;/p&gt;")</f>
        <v>&lt;p&gt;Souffle : &lt;span class="jauge"&gt;-&lt;/span&gt;&lt;/p&gt;</v>
      </c>
      <c r="AA42" s="20" t="str">
        <f>CONCATENATE("&lt;p&gt;Concentration : &lt;span class=""jauge""&gt;",IF(Tableau1[[#This Row],[Concentration]]&gt;0,Tableau1[[#This Row],[Concentration]],"-"), "&lt;/span&gt;&lt;/p&gt;")</f>
        <v>&lt;p&gt;Concentration : &lt;span class="jauge"&gt;1&lt;/span&gt;&lt;/p&gt;</v>
      </c>
      <c r="AB42" s="20" t="str">
        <f>IF(Tableau1[[#This Row],[Adrénaline]]&gt;0,CONCATENATE("&lt;p&gt;Adrénaline : &lt;span class=""jauge""&gt;", Tableau1[[#This Row],[Adrénaline]], "&lt;/span&gt;&lt;/p&gt;"),"")</f>
        <v/>
      </c>
      <c r="AC42" s="20"/>
      <c r="AD42" s="20" t="str">
        <f>CONCATENATE("&lt;div class=""effets""&gt;",Tableau1[[#This Row],[Effets]],"&lt;/div&gt;")</f>
        <v>&lt;div class="effets"&gt;Le tir subit un malus de -5 pour toucher et -2 au dégâts.&lt;/div&gt;</v>
      </c>
      <c r="AE42" s="20"/>
      <c r="AF42" s="20" t="str">
        <f>CONCATENATE(Tableau1[[#This Row],[HTML_prefix]],Tableau1[[#This Row],[HTML_nom]],Tableau1[[#This Row],[HTML_specs_prefix]],Tableau1[[#This Row],[HTML_passif]],Tableau1[[#This Row],[HTML_profil]],Tableau1[[#This Row],[HTML_innée]],Tableau1[[#This Row],[HTML_apprentissage]],Tableau1[[#This Row],[HTML_specs_col]],Tableau1[[#This Row],[HTML_Execution]],Tableau1[[#This Row],[HTML_Souffle]],Tableau1[[#This Row],[HTML_Concentration]],Tableau1[[#This Row],[HTML_Adrénaline]],Tableau1[[#This Row],[HTML_specs_suffix]],Tableau1[[#This Row],[HTML_effets]],Tableau1[[#This Row],[HTML_suffix]])</f>
        <v>&lt;h4 class="nom"&gt;Tir rapide&lt;/h4&gt;&lt;span class="profil"&gt;Profil Distant&lt;/span&gt;&lt;span class="apprentissage"&gt;Apprentissage : &lt;span&gt;Adresse 10&lt;/span&gt;&lt;/span&gt;&lt;p&gt;Exécution : &lt;span&gt;5&lt;/span&gt;&lt;/p&gt;&lt;p&gt;Souffle : &lt;span class="jauge"&gt;-&lt;/span&gt;&lt;/p&gt;&lt;p&gt;Concentration : &lt;span class="jauge"&gt;1&lt;/span&gt;&lt;/p&gt;&lt;div class="effets"&gt;Le tir subit un malus de -5 pour toucher et -2 au dégâts.&lt;/div&gt;</v>
      </c>
      <c r="AG42" s="21" t="str">
        <f>IF(ISBLANK(Tableau1[[#This Row],[Nom]]),"",IF(B42&lt;&gt;B41,CONCATENATE("&lt;/div&gt;&lt;div class=""voie ",Tableau1[[#This Row],[Caractéristique]],"""&gt;&lt;h3&gt;",Tableau1[[#This Row],[Voie]],"&lt;/h3&gt;",Tableau1[[#This Row],[HTML_ligne]]),Tableau1[[#This Row],[HTML_ligne]]))</f>
        <v>&lt;h4 class="nom"&gt;Tir rapide&lt;/h4&gt;&lt;span class="profil"&gt;Profil Distant&lt;/span&gt;&lt;span class="apprentissage"&gt;Apprentissage : &lt;span&gt;Adresse 10&lt;/span&gt;&lt;/span&gt;&lt;p&gt;Exécution : &lt;span&gt;5&lt;/span&gt;&lt;/p&gt;&lt;p&gt;Souffle : &lt;span class="jauge"&gt;-&lt;/span&gt;&lt;/p&gt;&lt;p&gt;Concentration : &lt;span class="jauge"&gt;1&lt;/span&gt;&lt;/p&gt;&lt;div class="effets"&gt;Le tir subit un malus de -5 pour toucher et -2 au dégâts.&lt;/div&gt;</v>
      </c>
    </row>
    <row r="43" spans="1:33" ht="45" x14ac:dyDescent="0.25">
      <c r="A43" s="12">
        <v>8</v>
      </c>
      <c r="B43" s="3" t="s">
        <v>21</v>
      </c>
      <c r="D43" s="3" t="s">
        <v>205</v>
      </c>
      <c r="E43" s="19">
        <f>IFERROR(VLOOKUP(Tableau1[[#This Row],[Niveau]],Tableau2[],2,FALSE),"")</f>
        <v>0</v>
      </c>
      <c r="F43" s="3" t="s">
        <v>58</v>
      </c>
      <c r="G43" s="10">
        <v>6</v>
      </c>
      <c r="I43" s="10">
        <v>1</v>
      </c>
      <c r="L43" s="10" t="b">
        <v>1</v>
      </c>
      <c r="M43" s="25" t="s">
        <v>38</v>
      </c>
      <c r="N43" s="19" t="b">
        <f>IF(Tableau1[[#This Row],[Niveau]]=0,TRUE,FALSE)</f>
        <v>1</v>
      </c>
      <c r="O43" s="1" t="s">
        <v>206</v>
      </c>
      <c r="R43" s="20" t="str">
        <f>CONCATENATE("&lt;h4 class=""nom""&gt;",Tableau1[[#This Row],[Nom]],"&lt;/h4&gt;")</f>
        <v>&lt;h4 class="nom"&gt;Tir d'ajustement&lt;/h4&gt;</v>
      </c>
      <c r="S43" s="20"/>
      <c r="T43" s="20" t="str">
        <f>IF(Tableau1[[#This Row],[Passif ?]],"&lt;span class=""passive""&gt;Action passive&lt;/span&gt;","")</f>
        <v/>
      </c>
      <c r="U43" s="20" t="str">
        <f>IF(ISBLANK(Tableau1[[#This Row],[Profil]]),"",CONCATENATE("&lt;span class=""profil""&gt;Profil ",Tableau1[[#This Row],[Profil]],"&lt;/span&gt;"))</f>
        <v>&lt;span class="profil"&gt;Profil Distant&lt;/span&gt;</v>
      </c>
      <c r="V43" s="20" t="str">
        <f>IF(Tableau1[[#This Row],[Innée ?]],"&lt;span class=""innee""&gt;Action innée&lt;/span&gt;","")</f>
        <v>&lt;span class="innee"&gt;Action innée&lt;/span&gt;</v>
      </c>
      <c r="W43" s="20" t="str">
        <f>IF(Tableau1[[#This Row],[Niveau]]&gt;0,CONCATENATE("&lt;span class=""apprentissage""&gt;Apprentissage : &lt;span&gt;",Tableau1[[#This Row],[Caractéristique]], " ",Tableau1[[#This Row],[Apprentissage]],"&lt;/span&gt;&lt;/span&gt;"),"")</f>
        <v/>
      </c>
      <c r="X43" s="20"/>
      <c r="Y43" s="20" t="str">
        <f>CONCATENATE("&lt;p&gt;Exécution : &lt;span&gt;", IF(Tableau1[[#This Row],[Exécution]]&gt;0,Tableau1[[#This Row],[Exécution]],"-"), "&lt;/span&gt;&lt;/p&gt;")</f>
        <v>&lt;p&gt;Exécution : &lt;span&gt;6&lt;/span&gt;&lt;/p&gt;</v>
      </c>
      <c r="Z43" s="20" t="str">
        <f>CONCATENATE("&lt;p&gt;Souffle : &lt;span class=""jauge""&gt;", IF(Tableau1[[#This Row],[Souffle]]&gt;0,Tableau1[[#This Row],[Souffle]],"-"), "&lt;/span&gt;&lt;/p&gt;")</f>
        <v>&lt;p&gt;Souffle : &lt;span class="jauge"&gt;-&lt;/span&gt;&lt;/p&gt;</v>
      </c>
      <c r="AA43" s="20" t="str">
        <f>CONCATENATE("&lt;p&gt;Concentration : &lt;span class=""jauge""&gt;",IF(Tableau1[[#This Row],[Concentration]]&gt;0,Tableau1[[#This Row],[Concentration]],"-"), "&lt;/span&gt;&lt;/p&gt;")</f>
        <v>&lt;p&gt;Concentration : &lt;span class="jauge"&gt;1&lt;/span&gt;&lt;/p&gt;</v>
      </c>
      <c r="AB43" s="20" t="str">
        <f>IF(Tableau1[[#This Row],[Adrénaline]]&gt;0,CONCATENATE("&lt;p&gt;Adrénaline : &lt;span class=""jauge""&gt;", Tableau1[[#This Row],[Adrénaline]], "&lt;/span&gt;&lt;/p&gt;"),"")</f>
        <v/>
      </c>
      <c r="AC43" s="20"/>
      <c r="AD43" s="20" t="str">
        <f>CONCATENATE("&lt;div class=""effets""&gt;",Tableau1[[#This Row],[Effets]],"&lt;/div&gt;")</f>
        <v>&lt;div class="effets"&gt;Le personnage effectue un tir ayant pour bout de trouver ses marques. Les dégâts de l'attaque sont divisés par deux mais si l'attaque touche (peu importe que des dégâts soient infligés), toutes les prochaines attaques du profil Distant auront un bonus de +5 pour toucher jusqu'à ce que la cible ce soit déplacée de plus de 2m.&lt;/div&gt;</v>
      </c>
      <c r="AE43" s="20"/>
      <c r="AF43" s="20" t="str">
        <f>CONCATENATE(Tableau1[[#This Row],[HTML_prefix]],Tableau1[[#This Row],[HTML_nom]],Tableau1[[#This Row],[HTML_specs_prefix]],Tableau1[[#This Row],[HTML_passif]],Tableau1[[#This Row],[HTML_profil]],Tableau1[[#This Row],[HTML_innée]],Tableau1[[#This Row],[HTML_apprentissage]],Tableau1[[#This Row],[HTML_specs_col]],Tableau1[[#This Row],[HTML_Execution]],Tableau1[[#This Row],[HTML_Souffle]],Tableau1[[#This Row],[HTML_Concentration]],Tableau1[[#This Row],[HTML_Adrénaline]],Tableau1[[#This Row],[HTML_specs_suffix]],Tableau1[[#This Row],[HTML_effets]],Tableau1[[#This Row],[HTML_suffix]])</f>
        <v>&lt;h4 class="nom"&gt;Tir d'ajustement&lt;/h4&gt;&lt;span class="profil"&gt;Profil Distant&lt;/span&gt;&lt;span class="innee"&gt;Action innée&lt;/span&gt;&lt;p&gt;Exécution : &lt;span&gt;6&lt;/span&gt;&lt;/p&gt;&lt;p&gt;Souffle : &lt;span class="jauge"&gt;-&lt;/span&gt;&lt;/p&gt;&lt;p&gt;Concentration : &lt;span class="jauge"&gt;1&lt;/span&gt;&lt;/p&gt;&lt;div class="effets"&gt;Le personnage effectue un tir ayant pour bout de trouver ses marques. Les dégâts de l'attaque sont divisés par deux mais si l'attaque touche (peu importe que des dégâts soient infligés), toutes les prochaines attaques du profil Distant auront un bonus de +5 pour toucher jusqu'à ce que la cible ce soit déplacée de plus de 2m.&lt;/div&gt;</v>
      </c>
      <c r="AG43" s="21" t="str">
        <f>IF(ISBLANK(Tableau1[[#This Row],[Nom]]),"",IF(B43&lt;&gt;B42,CONCATENATE("&lt;/div&gt;&lt;div class=""voie ",Tableau1[[#This Row],[Caractéristique]],"""&gt;&lt;h3&gt;",Tableau1[[#This Row],[Voie]],"&lt;/h3&gt;",Tableau1[[#This Row],[HTML_ligne]]),Tableau1[[#This Row],[HTML_ligne]]))</f>
        <v>&lt;h4 class="nom"&gt;Tir d'ajustement&lt;/h4&gt;&lt;span class="profil"&gt;Profil Distant&lt;/span&gt;&lt;span class="innee"&gt;Action innée&lt;/span&gt;&lt;p&gt;Exécution : &lt;span&gt;6&lt;/span&gt;&lt;/p&gt;&lt;p&gt;Souffle : &lt;span class="jauge"&gt;-&lt;/span&gt;&lt;/p&gt;&lt;p&gt;Concentration : &lt;span class="jauge"&gt;1&lt;/span&gt;&lt;/p&gt;&lt;div class="effets"&gt;Le personnage effectue un tir ayant pour bout de trouver ses marques. Les dégâts de l'attaque sont divisés par deux mais si l'attaque touche (peu importe que des dégâts soient infligés), toutes les prochaines attaques du profil Distant auront un bonus de +5 pour toucher jusqu'à ce que la cible ce soit déplacée de plus de 2m.&lt;/div&gt;</v>
      </c>
    </row>
    <row r="44" spans="1:33" ht="30" x14ac:dyDescent="0.25">
      <c r="A44" s="12">
        <v>8</v>
      </c>
      <c r="B44" s="3" t="s">
        <v>21</v>
      </c>
      <c r="C44" s="10">
        <v>2</v>
      </c>
      <c r="D44" s="3" t="s">
        <v>172</v>
      </c>
      <c r="E44" s="4">
        <f>IFERROR(VLOOKUP(Tableau1[[#This Row],[Niveau]],Tableau2[],2,FALSE),"")</f>
        <v>15</v>
      </c>
      <c r="F44" s="3" t="s">
        <v>58</v>
      </c>
      <c r="G44" s="10">
        <v>6</v>
      </c>
      <c r="I44" s="10">
        <v>2</v>
      </c>
      <c r="L44" s="10" t="b">
        <v>1</v>
      </c>
      <c r="M44" s="25" t="s">
        <v>38</v>
      </c>
      <c r="N44" s="4" t="b">
        <f>IF(Tableau1[[#This Row],[Niveau]]=0,TRUE,FALSE)</f>
        <v>0</v>
      </c>
      <c r="O44" s="5" t="s">
        <v>173</v>
      </c>
      <c r="Q44" s="6" t="s">
        <v>65</v>
      </c>
      <c r="R44" s="6" t="str">
        <f>CONCATENATE("&lt;h4 class=""nom""&gt;",Tableau1[[#This Row],[Nom]],"&lt;/h4&gt;")</f>
        <v>&lt;h4 class="nom"&gt;Tir double&lt;/h4&gt;</v>
      </c>
      <c r="S44" s="6" t="s">
        <v>66</v>
      </c>
      <c r="T44" s="6" t="str">
        <f>IF(Tableau1[[#This Row],[Passif ?]],"&lt;span class=""passive""&gt;Action passive&lt;/span&gt;","")</f>
        <v/>
      </c>
      <c r="U44" s="6" t="str">
        <f>IF(ISBLANK(Tableau1[[#This Row],[Profil]]),"",CONCATENATE("&lt;span class=""profil""&gt;Profil ",Tableau1[[#This Row],[Profil]],"&lt;/span&gt;"))</f>
        <v>&lt;span class="profil"&gt;Profil Distant&lt;/span&gt;</v>
      </c>
      <c r="V44" s="6" t="str">
        <f>IF(Tableau1[[#This Row],[Innée ?]],"&lt;span class=""innee""&gt;Action innée&lt;/span&gt;","")</f>
        <v/>
      </c>
      <c r="W44" s="6" t="str">
        <f>IF(Tableau1[[#This Row],[Niveau]]&gt;0,CONCATENATE("&lt;span class=""apprentissage""&gt;Apprentissage : &lt;span&gt;",Tableau1[[#This Row],[Caractéristique]], " ",Tableau1[[#This Row],[Apprentissage]],"&lt;/span&gt;&lt;/span&gt;"),"")</f>
        <v>&lt;span class="apprentissage"&gt;Apprentissage : &lt;span&gt;Adresse 15&lt;/span&gt;&lt;/span&gt;</v>
      </c>
      <c r="X44" s="6" t="s">
        <v>67</v>
      </c>
      <c r="Y44" s="6" t="str">
        <f>CONCATENATE("&lt;p&gt;Exécution : &lt;span&gt;", IF(Tableau1[[#This Row],[Exécution]]&gt;0,Tableau1[[#This Row],[Exécution]],"-"), "&lt;/span&gt;&lt;/p&gt;")</f>
        <v>&lt;p&gt;Exécution : &lt;span&gt;6&lt;/span&gt;&lt;/p&gt;</v>
      </c>
      <c r="Z44" s="6" t="str">
        <f>CONCATENATE("&lt;p&gt;Souffle : &lt;span class=""jauge""&gt;", IF(Tableau1[[#This Row],[Souffle]]&gt;0,Tableau1[[#This Row],[Souffle]],"-"), "&lt;/span&gt;&lt;/p&gt;")</f>
        <v>&lt;p&gt;Souffle : &lt;span class="jauge"&gt;-&lt;/span&gt;&lt;/p&gt;</v>
      </c>
      <c r="AA44" s="6" t="str">
        <f>CONCATENATE("&lt;p&gt;Concentration : &lt;span class=""jauge""&gt;",IF(Tableau1[[#This Row],[Concentration]]&gt;0,Tableau1[[#This Row],[Concentration]],"-"), "&lt;/span&gt;&lt;/p&gt;")</f>
        <v>&lt;p&gt;Concentration : &lt;span class="jauge"&gt;2&lt;/span&gt;&lt;/p&gt;</v>
      </c>
      <c r="AB44" s="6" t="str">
        <f>IF(Tableau1[[#This Row],[Adrénaline]]&gt;0,CONCATENATE("&lt;p&gt;Adrénaline : &lt;span class=""jauge""&gt;", Tableau1[[#This Row],[Adrénaline]], "&lt;/span&gt;&lt;/p&gt;"),"")</f>
        <v/>
      </c>
      <c r="AC44" s="6" t="s">
        <v>50</v>
      </c>
      <c r="AD44" s="6" t="str">
        <f>CONCATENATE("&lt;div class=""effets""&gt;",Tableau1[[#This Row],[Effets]],"&lt;/div&gt;")</f>
        <v>&lt;div class="effets"&gt;Le personnage enclenche deux flèches sur son arc ou arbalète et les décoche vers une cible unique. La portée est alors réduite de 10, les dégâts de chaque flèche de 4 et l’&lt;span class="stat"&gt;Adresse&lt;/span&gt; de 4. Un seul jet de localisation est utilisé mais l'armure est appliquée pour chaque flèche.&lt;/div&gt;</v>
      </c>
      <c r="AE44" s="6" t="s">
        <v>64</v>
      </c>
      <c r="AF44" s="6" t="str">
        <f>CONCATENATE(Tableau1[[#This Row],[HTML_prefix]],Tableau1[[#This Row],[HTML_nom]],Tableau1[[#This Row],[HTML_specs_prefix]],Tableau1[[#This Row],[HTML_passif]],Tableau1[[#This Row],[HTML_profil]],Tableau1[[#This Row],[HTML_innée]],Tableau1[[#This Row],[HTML_apprentissage]],Tableau1[[#This Row],[HTML_specs_col]],Tableau1[[#This Row],[HTML_Execution]],Tableau1[[#This Row],[HTML_Souffle]],Tableau1[[#This Row],[HTML_Concentration]],Tableau1[[#This Row],[HTML_Adrénaline]],Tableau1[[#This Row],[HTML_specs_suffix]],Tableau1[[#This Row],[HTML_effets]],Tableau1[[#This Row],[HTML_suffix]])</f>
        <v>&lt;div class="comp"&gt;&lt;h4 class="nom"&gt;Tir double&lt;/h4&gt;&lt;table class="spec"&gt;&lt;tr&gt;&lt;td class="left"&gt;&lt;span class="profil"&gt;Profil Distant&lt;/span&gt;&lt;span class="apprentissage"&gt;Apprentissage : &lt;span&gt;Adresse 15&lt;/span&gt;&lt;/span&gt;&lt;/td&gt;&lt;td class="right"&gt;&lt;p&gt;Exécution : &lt;span&gt;6&lt;/span&gt;&lt;/p&gt;&lt;p&gt;Souffle : &lt;span class="jauge"&gt;-&lt;/span&gt;&lt;/p&gt;&lt;p&gt;Concentration : &lt;span class="jauge"&gt;2&lt;/span&gt;&lt;/p&gt;&lt;/td&gt;&lt;/tr&gt;&lt;/table class=""spec""&gt;&lt;div class="effets"&gt;Le personnage enclenche deux flèches sur son arc ou arbalète et les décoche vers une cible unique. La portée est alors réduite de 10, les dégâts de chaque flèche de 4 et l’&lt;span class="stat"&gt;Adresse&lt;/span&gt; de 4. Un seul jet de localisation est utilisé mais l'armure est appliquée pour chaque flèche.&lt;/div&gt;&lt;/div&gt;</v>
      </c>
      <c r="AG44" s="8" t="str">
        <f>IF(ISBLANK(Tableau1[[#This Row],[Nom]]),"",IF(B44&lt;&gt;B41,CONCATENATE("&lt;/div&gt;&lt;div class=""voie ",Tableau1[[#This Row],[Caractéristique]],"""&gt;&lt;h3&gt;",Tableau1[[#This Row],[Voie]],"&lt;/h3&gt;",Tableau1[[#This Row],[HTML_ligne]]),Tableau1[[#This Row],[HTML_ligne]]))</f>
        <v>&lt;div class="comp"&gt;&lt;h4 class="nom"&gt;Tir double&lt;/h4&gt;&lt;table class="spec"&gt;&lt;tr&gt;&lt;td class="left"&gt;&lt;span class="profil"&gt;Profil Distant&lt;/span&gt;&lt;span class="apprentissage"&gt;Apprentissage : &lt;span&gt;Adresse 15&lt;/span&gt;&lt;/span&gt;&lt;/td&gt;&lt;td class="right"&gt;&lt;p&gt;Exécution : &lt;span&gt;6&lt;/span&gt;&lt;/p&gt;&lt;p&gt;Souffle : &lt;span class="jauge"&gt;-&lt;/span&gt;&lt;/p&gt;&lt;p&gt;Concentration : &lt;span class="jauge"&gt;2&lt;/span&gt;&lt;/p&gt;&lt;/td&gt;&lt;/tr&gt;&lt;/table class=""spec""&gt;&lt;div class="effets"&gt;Le personnage enclenche deux flèches sur son arc ou arbalète et les décoche vers une cible unique. La portée est alors réduite de 10, les dégâts de chaque flèche de 4 et l’&lt;span class="stat"&gt;Adresse&lt;/span&gt; de 4. Un seul jet de localisation est utilisé mais l'armure est appliquée pour chaque flèche.&lt;/div&gt;&lt;/div&gt;</v>
      </c>
    </row>
    <row r="45" spans="1:33" ht="165" x14ac:dyDescent="0.25">
      <c r="A45" s="12">
        <v>9</v>
      </c>
      <c r="B45" s="3" t="s">
        <v>126</v>
      </c>
      <c r="C45" s="10">
        <v>0</v>
      </c>
      <c r="D45" s="3" t="s">
        <v>125</v>
      </c>
      <c r="E45" s="4">
        <f>IFERROR(VLOOKUP(Tableau1[[#This Row],[Niveau]],Tableau2[],2,FALSE),"")</f>
        <v>0</v>
      </c>
      <c r="F45" s="3" t="s">
        <v>127</v>
      </c>
      <c r="G45" s="10" t="s">
        <v>130</v>
      </c>
      <c r="I45" s="10" t="s">
        <v>130</v>
      </c>
      <c r="N45" s="4" t="b">
        <f>IF(Tableau1[[#This Row],[Niveau]]=0,TRUE,FALSE)</f>
        <v>1</v>
      </c>
      <c r="O45" s="5" t="s">
        <v>128</v>
      </c>
      <c r="Q45" s="6" t="s">
        <v>65</v>
      </c>
      <c r="R45" s="6" t="str">
        <f>CONCATENATE("&lt;h4 class=""nom""&gt;",Tableau1[[#This Row],[Nom]],"&lt;/h4&gt;")</f>
        <v>&lt;h4 class="nom"&gt;Lancer un sort&lt;/h4&gt;</v>
      </c>
      <c r="S45" s="6" t="s">
        <v>66</v>
      </c>
      <c r="T45" s="6" t="str">
        <f>IF(Tableau1[[#This Row],[Passif ?]],"&lt;span class=""passive""&gt;Action passive&lt;/span&gt;","")</f>
        <v/>
      </c>
      <c r="U45" s="6" t="str">
        <f>IF(ISBLANK(Tableau1[[#This Row],[Profil]]),"",CONCATENATE("&lt;span class=""profil""&gt;Profil ",Tableau1[[#This Row],[Profil]],"&lt;/span&gt;"))</f>
        <v/>
      </c>
      <c r="V45" s="6" t="str">
        <f>IF(Tableau1[[#This Row],[Innée ?]],"&lt;span class=""innee""&gt;Action innée&lt;/span&gt;","")</f>
        <v>&lt;span class="innee"&gt;Action innée&lt;/span&gt;</v>
      </c>
      <c r="W45" s="6" t="str">
        <f>IF(Tableau1[[#This Row],[Niveau]]&gt;0,CONCATENATE("&lt;span class=""apprentissage""&gt;Apprentissage : &lt;span&gt;",Tableau1[[#This Row],[Caractéristique]], " ",Tableau1[[#This Row],[Apprentissage]],"&lt;/span&gt;&lt;/span&gt;"),"")</f>
        <v/>
      </c>
      <c r="X45" s="6" t="s">
        <v>67</v>
      </c>
      <c r="Y45" s="6" t="str">
        <f>CONCATENATE("&lt;p&gt;Exécution : &lt;span&gt;", IF(Tableau1[[#This Row],[Exécution]]&gt;0,Tableau1[[#This Row],[Exécution]],"-"), "&lt;/span&gt;&lt;/p&gt;")</f>
        <v>&lt;p&gt;Exécution : &lt;span&gt;*&lt;/span&gt;&lt;/p&gt;</v>
      </c>
      <c r="Z45" s="6" t="str">
        <f>CONCATENATE("&lt;p&gt;Souffle : &lt;span class=""jauge""&gt;", IF(Tableau1[[#This Row],[Souffle]]&gt;0,Tableau1[[#This Row],[Souffle]],"-"), "&lt;/span&gt;&lt;/p&gt;")</f>
        <v>&lt;p&gt;Souffle : &lt;span class="jauge"&gt;-&lt;/span&gt;&lt;/p&gt;</v>
      </c>
      <c r="AA45" s="6" t="str">
        <f>CONCATENATE("&lt;p&gt;Concentration : &lt;span class=""jauge""&gt;",IF(Tableau1[[#This Row],[Concentration]]&gt;0,Tableau1[[#This Row],[Concentration]],"-"), "&lt;/span&gt;&lt;/p&gt;")</f>
        <v>&lt;p&gt;Concentration : &lt;span class="jauge"&gt;*&lt;/span&gt;&lt;/p&gt;</v>
      </c>
      <c r="AB45" s="6" t="str">
        <f>IF(Tableau1[[#This Row],[Adrénaline]]&gt;0,CONCATENATE("&lt;p&gt;Adrénaline : &lt;span class=""jauge""&gt;", Tableau1[[#This Row],[Adrénaline]], "&lt;/span&gt;&lt;/p&gt;"),"")</f>
        <v/>
      </c>
      <c r="AC45" s="6" t="s">
        <v>50</v>
      </c>
      <c r="AD45" s="6" t="str">
        <f>CONCATENATE("&lt;div class=""effets""&gt;",Tableau1[[#This Row],[Effets]],"&lt;/div&gt;")</f>
        <v>&lt;div class="effets"&gt;Bien que cette action semble accessible à tous les individus, seuls les rares mages dotés de talent et de savoir peuvent réellement manipuler l’énergie magique.&lt;br /&gt;Lorsque le personnage souhaite lancer un sort, il doit réussir à canaliser assez d’énergie en lui : c’est le seuil de puissance du sort. Pour générer cette énergie, le mage additionne son &lt;span class="stat"&gt;Intelligence&lt;/span&gt; et un D20. Il peut aussi ajouter un nombre de points de &lt;span class="jauge"&gt;Concentration&lt;/span&gt;s au choix. (Le mage choisit ce nombre avant de lancer son dé). Chaque point de &lt;span class="jauge"&gt;Concentration&lt;/span&gt; dépensé donne un bonus de +5 au total&lt;br /&gt;Si ce score est inférieur au seuil de puissance du sort, le mage n’a pas réussi à se concentrer assez rapidement et le sort est perdu (l’action est perdue et les points de &lt;span class="jauge"&gt;Concentration&lt;/span&gt; aussi). Sinon, le sort est lancé avec succès.&lt;br /&gt;Si de plus ce score est supérieur au seuil critique du sort, celui-ci est lancé à sa puissance maximale.&lt;br /&gt;&lt;br /&gt;Enfin si le sort lancé est un projectile magique, le mage doit également toucher sa cible avec. Le principe est identique à l’attaque à distance (test d’&lt;span class="stat"&gt;Adresse&lt;/span&gt;, bonus/malus, …) à la différence près que le mage utilise son &lt;span class="stat"&gt;Intelligence&lt;/span&gt; et non son &lt;span class="stat"&gt;Adresse&lt;/span&gt; pour effectuer le test.&lt;br /&gt;Pour lancer un sort, le personnage a besoin de parler et doit pouvoir faire suffisamment de mouvements. Ainsi, s’il se retrouve ligoté ou bâillonné, il ne pourra utiliser cette compétence.&lt;/div&gt;</v>
      </c>
      <c r="AE45" s="6" t="s">
        <v>64</v>
      </c>
      <c r="AF45" s="6" t="str">
        <f>CONCATENATE(Tableau1[[#This Row],[HTML_prefix]],Tableau1[[#This Row],[HTML_nom]],Tableau1[[#This Row],[HTML_specs_prefix]],Tableau1[[#This Row],[HTML_passif]],Tableau1[[#This Row],[HTML_profil]],Tableau1[[#This Row],[HTML_innée]],Tableau1[[#This Row],[HTML_apprentissage]],Tableau1[[#This Row],[HTML_specs_col]],Tableau1[[#This Row],[HTML_Execution]],Tableau1[[#This Row],[HTML_Souffle]],Tableau1[[#This Row],[HTML_Concentration]],Tableau1[[#This Row],[HTML_Adrénaline]],Tableau1[[#This Row],[HTML_specs_suffix]],Tableau1[[#This Row],[HTML_effets]],Tableau1[[#This Row],[HTML_suffix]])</f>
        <v>&lt;div class="comp"&gt;&lt;h4 class="nom"&gt;Lancer un sort&lt;/h4&gt;&lt;table class="spec"&gt;&lt;tr&gt;&lt;td class="left"&gt;&lt;span class="innee"&gt;Action innée&lt;/span&gt;&lt;/td&gt;&lt;td class="right"&gt;&lt;p&gt;Exécution : &lt;span&gt;*&lt;/span&gt;&lt;/p&gt;&lt;p&gt;Souffle : &lt;span class="jauge"&gt;-&lt;/span&gt;&lt;/p&gt;&lt;p&gt;Concentration : &lt;span class="jauge"&gt;*&lt;/span&gt;&lt;/p&gt;&lt;/td&gt;&lt;/tr&gt;&lt;/table class=""spec""&gt;&lt;div class="effets"&gt;Bien que cette action semble accessible à tous les individus, seuls les rares mages dotés de talent et de savoir peuvent réellement manipuler l’énergie magique.&lt;br /&gt;Lorsque le personnage souhaite lancer un sort, il doit réussir à canaliser assez d’énergie en lui : c’est le seuil de puissance du sort. Pour générer cette énergie, le mage additionne son &lt;span class="stat"&gt;Intelligence&lt;/span&gt; et un D20. Il peut aussi ajouter un nombre de points de &lt;span class="jauge"&gt;Concentration&lt;/span&gt;s au choix. (Le mage choisit ce nombre avant de lancer son dé). Chaque point de &lt;span class="jauge"&gt;Concentration&lt;/span&gt; dépensé donne un bonus de +5 au total&lt;br /&gt;Si ce score est inférieur au seuil de puissance du sort, le mage n’a pas réussi à se concentrer assez rapidement et le sort est perdu (l’action est perdue et les points de &lt;span class="jauge"&gt;Concentration&lt;/span&gt; aussi). Sinon, le sort est lancé avec succès.&lt;br /&gt;Si de plus ce score est supérieur au seuil critique du sort, celui-ci est lancé à sa puissance maximale.&lt;br /&gt;&lt;br /&gt;Enfin si le sort lancé est un projectile magique, le mage doit également toucher sa cible avec. Le principe est identique à l’attaque à distance (test d’&lt;span class="stat"&gt;Adresse&lt;/span&gt;, bonus/malus, …) à la différence près que le mage utilise son &lt;span class="stat"&gt;Intelligence&lt;/span&gt; et non son &lt;span class="stat"&gt;Adresse&lt;/span&gt; pour effectuer le test.&lt;br /&gt;Pour lancer un sort, le personnage a besoin de parler et doit pouvoir faire suffisamment de mouvements. Ainsi, s’il se retrouve ligoté ou bâillonné, il ne pourra utiliser cette compétence.&lt;/div&gt;&lt;/div&gt;</v>
      </c>
      <c r="AG45" s="8" t="str">
        <f>IF(ISBLANK(Tableau1[[#This Row],[Nom]]),"",IF(B45&lt;&gt;B44,CONCATENATE("&lt;/div&gt;&lt;div class=""voie ",Tableau1[[#This Row],[Caractéristique]],"""&gt;&lt;h3&gt;",Tableau1[[#This Row],[Voie]],"&lt;/h3&gt;",Tableau1[[#This Row],[HTML_ligne]]),Tableau1[[#This Row],[HTML_ligne]]))</f>
        <v>&lt;/div&gt;&lt;div class="voie Intelligence"&gt;&lt;h3&gt;Sorcellerie&lt;/h3&gt;&lt;div class="comp"&gt;&lt;h4 class="nom"&gt;Lancer un sort&lt;/h4&gt;&lt;table class="spec"&gt;&lt;tr&gt;&lt;td class="left"&gt;&lt;span class="innee"&gt;Action innée&lt;/span&gt;&lt;/td&gt;&lt;td class="right"&gt;&lt;p&gt;Exécution : &lt;span&gt;*&lt;/span&gt;&lt;/p&gt;&lt;p&gt;Souffle : &lt;span class="jauge"&gt;-&lt;/span&gt;&lt;/p&gt;&lt;p&gt;Concentration : &lt;span class="jauge"&gt;*&lt;/span&gt;&lt;/p&gt;&lt;/td&gt;&lt;/tr&gt;&lt;/table class=""spec""&gt;&lt;div class="effets"&gt;Bien que cette action semble accessible à tous les individus, seuls les rares mages dotés de talent et de savoir peuvent réellement manipuler l’énergie magique.&lt;br /&gt;Lorsque le personnage souhaite lancer un sort, il doit réussir à canaliser assez d’énergie en lui : c’est le seuil de puissance du sort. Pour générer cette énergie, le mage additionne son &lt;span class="stat"&gt;Intelligence&lt;/span&gt; et un D20. Il peut aussi ajouter un nombre de points de &lt;span class="jauge"&gt;Concentration&lt;/span&gt;s au choix. (Le mage choisit ce nombre avant de lancer son dé). Chaque point de &lt;span class="jauge"&gt;Concentration&lt;/span&gt; dépensé donne un bonus de +5 au total&lt;br /&gt;Si ce score est inférieur au seuil de puissance du sort, le mage n’a pas réussi à se concentrer assez rapidement et le sort est perdu (l’action est perdue et les points de &lt;span class="jauge"&gt;Concentration&lt;/span&gt; aussi). Sinon, le sort est lancé avec succès.&lt;br /&gt;Si de plus ce score est supérieur au seuil critique du sort, celui-ci est lancé à sa puissance maximale.&lt;br /&gt;&lt;br /&gt;Enfin si le sort lancé est un projectile magique, le mage doit également toucher sa cible avec. Le principe est identique à l’attaque à distance (test d’&lt;span class="stat"&gt;Adresse&lt;/span&gt;, bonus/malus, …) à la différence près que le mage utilise son &lt;span class="stat"&gt;Intelligence&lt;/span&gt; et non son &lt;span class="stat"&gt;Adresse&lt;/span&gt; pour effectuer le test.&lt;br /&gt;Pour lancer un sort, le personnage a besoin de parler et doit pouvoir faire suffisamment de mouvements. Ainsi, s’il se retrouve ligoté ou bâillonné, il ne pourra utiliser cette compétence.&lt;/div&gt;&lt;/div&gt;</v>
      </c>
    </row>
    <row r="46" spans="1:33" ht="60" x14ac:dyDescent="0.25">
      <c r="A46" s="12">
        <v>9</v>
      </c>
      <c r="B46" s="3" t="s">
        <v>126</v>
      </c>
      <c r="C46" s="10">
        <v>0</v>
      </c>
      <c r="D46" s="3" t="s">
        <v>137</v>
      </c>
      <c r="E46" s="4">
        <f>IFERROR(VLOOKUP(Tableau1[[#This Row],[Niveau]],Tableau2[],2,FALSE),"")</f>
        <v>0</v>
      </c>
      <c r="F46" s="3" t="s">
        <v>127</v>
      </c>
      <c r="G46" s="10">
        <v>1</v>
      </c>
      <c r="I46" s="10" t="s">
        <v>130</v>
      </c>
      <c r="N46" s="4" t="b">
        <f>IF(Tableau1[[#This Row],[Niveau]]=0,TRUE,FALSE)</f>
        <v>1</v>
      </c>
      <c r="O46" s="5" t="s">
        <v>140</v>
      </c>
      <c r="Q46" s="6" t="s">
        <v>65</v>
      </c>
      <c r="R46" s="6" t="str">
        <f>CONCATENATE("&lt;h4 class=""nom""&gt;",Tableau1[[#This Row],[Nom]],"&lt;/h4&gt;")</f>
        <v>&lt;h4 class="nom"&gt;Résister à un sort&lt;/h4&gt;</v>
      </c>
      <c r="S46" s="6" t="s">
        <v>66</v>
      </c>
      <c r="T46" s="6" t="str">
        <f>IF(Tableau1[[#This Row],[Passif ?]],"&lt;span class=""passive""&gt;Action passive&lt;/span&gt;","")</f>
        <v/>
      </c>
      <c r="U46" s="6" t="str">
        <f>IF(ISBLANK(Tableau1[[#This Row],[Profil]]),"",CONCATENATE("&lt;span class=""profil""&gt;Profil ",Tableau1[[#This Row],[Profil]],"&lt;/span&gt;"))</f>
        <v/>
      </c>
      <c r="V46" s="6" t="str">
        <f>IF(Tableau1[[#This Row],[Innée ?]],"&lt;span class=""innee""&gt;Action innée&lt;/span&gt;","")</f>
        <v>&lt;span class="innee"&gt;Action innée&lt;/span&gt;</v>
      </c>
      <c r="W46" s="6" t="str">
        <f>IF(Tableau1[[#This Row],[Niveau]]&gt;0,CONCATENATE("&lt;span class=""apprentissage""&gt;Apprentissage : &lt;span&gt;",Tableau1[[#This Row],[Caractéristique]], " ",Tableau1[[#This Row],[Apprentissage]],"&lt;/span&gt;&lt;/span&gt;"),"")</f>
        <v/>
      </c>
      <c r="X46" s="6" t="s">
        <v>67</v>
      </c>
      <c r="Y46" s="6" t="str">
        <f>CONCATENATE("&lt;p&gt;Exécution : &lt;span&gt;", IF(Tableau1[[#This Row],[Exécution]]&gt;0,Tableau1[[#This Row],[Exécution]],"-"), "&lt;/span&gt;&lt;/p&gt;")</f>
        <v>&lt;p&gt;Exécution : &lt;span&gt;1&lt;/span&gt;&lt;/p&gt;</v>
      </c>
      <c r="Z46" s="6" t="str">
        <f>CONCATENATE("&lt;p&gt;Souffle : &lt;span class=""jauge""&gt;", IF(Tableau1[[#This Row],[Souffle]]&gt;0,Tableau1[[#This Row],[Souffle]],"-"), "&lt;/span&gt;&lt;/p&gt;")</f>
        <v>&lt;p&gt;Souffle : &lt;span class="jauge"&gt;-&lt;/span&gt;&lt;/p&gt;</v>
      </c>
      <c r="AA46" s="6" t="str">
        <f>CONCATENATE("&lt;p&gt;Concentration : &lt;span class=""jauge""&gt;",IF(Tableau1[[#This Row],[Concentration]]&gt;0,Tableau1[[#This Row],[Concentration]],"-"), "&lt;/span&gt;&lt;/p&gt;")</f>
        <v>&lt;p&gt;Concentration : &lt;span class="jauge"&gt;*&lt;/span&gt;&lt;/p&gt;</v>
      </c>
      <c r="AB46" s="6" t="str">
        <f>IF(Tableau1[[#This Row],[Adrénaline]]&gt;0,CONCATENATE("&lt;p&gt;Adrénaline : &lt;span class=""jauge""&gt;", Tableau1[[#This Row],[Adrénaline]], "&lt;/span&gt;&lt;/p&gt;"),"")</f>
        <v/>
      </c>
      <c r="AC46" s="6" t="s">
        <v>50</v>
      </c>
      <c r="AD46" s="6" t="str">
        <f>CONCATENATE("&lt;div class=""effets""&gt;",Tableau1[[#This Row],[Effets]],"&lt;/div&gt;")</f>
        <v>&lt;div class="effets"&gt;Se sentant affecté par les effets d’un sort, le personnage peut décider de lui résister et focalise son attention pour ce protéger (la décision est donc prise après avoir déterminé si le sort touche sa cible). Dans ce cas, il additionne son &lt;span class="stat"&gt;Intelligence&lt;/span&gt;, un D20 et un nombre de points de &lt;span class="jauge"&gt;Concentration&lt;/span&gt; de son choix. Chaque point de &lt;span class="jauge"&gt;Concentration&lt;/span&gt; donne un bonus de +5 au total. Si le résultat est supérieur au total du lanceur du sort, ses effets sont annulés. Cette défense n'est pas possible si le sort est un projectile magique.&lt;/div&gt;</v>
      </c>
      <c r="AE46" s="6" t="s">
        <v>64</v>
      </c>
      <c r="AF46" s="6" t="str">
        <f>CONCATENATE(Tableau1[[#This Row],[HTML_prefix]],Tableau1[[#This Row],[HTML_nom]],Tableau1[[#This Row],[HTML_specs_prefix]],Tableau1[[#This Row],[HTML_passif]],Tableau1[[#This Row],[HTML_profil]],Tableau1[[#This Row],[HTML_innée]],Tableau1[[#This Row],[HTML_apprentissage]],Tableau1[[#This Row],[HTML_specs_col]],Tableau1[[#This Row],[HTML_Execution]],Tableau1[[#This Row],[HTML_Souffle]],Tableau1[[#This Row],[HTML_Concentration]],Tableau1[[#This Row],[HTML_Adrénaline]],Tableau1[[#This Row],[HTML_specs_suffix]],Tableau1[[#This Row],[HTML_effets]],Tableau1[[#This Row],[HTML_suffix]])</f>
        <v>&lt;div class="comp"&gt;&lt;h4 class="nom"&gt;Résister à un sort&lt;/h4&gt;&lt;table class="spec"&gt;&lt;tr&gt;&lt;td class="left"&gt;&lt;span class="innee"&gt;Action innée&lt;/span&gt;&lt;/td&gt;&lt;td class="right"&gt;&lt;p&gt;Exécution : &lt;span&gt;1&lt;/span&gt;&lt;/p&gt;&lt;p&gt;Souffle : &lt;span class="jauge"&gt;-&lt;/span&gt;&lt;/p&gt;&lt;p&gt;Concentration : &lt;span class="jauge"&gt;*&lt;/span&gt;&lt;/p&gt;&lt;/td&gt;&lt;/tr&gt;&lt;/table class=""spec""&gt;&lt;div class="effets"&gt;Se sentant affecté par les effets d’un sort, le personnage peut décider de lui résister et focalise son attention pour ce protéger (la décision est donc prise après avoir déterminé si le sort touche sa cible). Dans ce cas, il additionne son &lt;span class="stat"&gt;Intelligence&lt;/span&gt;, un D20 et un nombre de points de &lt;span class="jauge"&gt;Concentration&lt;/span&gt; de son choix. Chaque point de &lt;span class="jauge"&gt;Concentration&lt;/span&gt; donne un bonus de +5 au total. Si le résultat est supérieur au total du lanceur du sort, ses effets sont annulés. Cette défense n'est pas possible si le sort est un projectile magique.&lt;/div&gt;&lt;/div&gt;</v>
      </c>
      <c r="AG46" s="8" t="str">
        <f>IF(ISBLANK(Tableau1[[#This Row],[Nom]]),"",IF(B46&lt;&gt;B45,CONCATENATE("&lt;/div&gt;&lt;div class=""voie ",Tableau1[[#This Row],[Caractéristique]],"""&gt;&lt;h3&gt;",Tableau1[[#This Row],[Voie]],"&lt;/h3&gt;",Tableau1[[#This Row],[HTML_ligne]]),Tableau1[[#This Row],[HTML_ligne]]))</f>
        <v>&lt;div class="comp"&gt;&lt;h4 class="nom"&gt;Résister à un sort&lt;/h4&gt;&lt;table class="spec"&gt;&lt;tr&gt;&lt;td class="left"&gt;&lt;span class="innee"&gt;Action innée&lt;/span&gt;&lt;/td&gt;&lt;td class="right"&gt;&lt;p&gt;Exécution : &lt;span&gt;1&lt;/span&gt;&lt;/p&gt;&lt;p&gt;Souffle : &lt;span class="jauge"&gt;-&lt;/span&gt;&lt;/p&gt;&lt;p&gt;Concentration : &lt;span class="jauge"&gt;*&lt;/span&gt;&lt;/p&gt;&lt;/td&gt;&lt;/tr&gt;&lt;/table class=""spec""&gt;&lt;div class="effets"&gt;Se sentant affecté par les effets d’un sort, le personnage peut décider de lui résister et focalise son attention pour ce protéger (la décision est donc prise après avoir déterminé si le sort touche sa cible). Dans ce cas, il additionne son &lt;span class="stat"&gt;Intelligence&lt;/span&gt;, un D20 et un nombre de points de &lt;span class="jauge"&gt;Concentration&lt;/span&gt; de son choix. Chaque point de &lt;span class="jauge"&gt;Concentration&lt;/span&gt; donne un bonus de +5 au total. Si le résultat est supérieur au total du lanceur du sort, ses effets sont annulés. Cette défense n'est pas possible si le sort est un projectile magique.&lt;/div&gt;&lt;/div&gt;</v>
      </c>
    </row>
    <row r="47" spans="1:33" ht="30" x14ac:dyDescent="0.25">
      <c r="A47" s="12">
        <v>9</v>
      </c>
      <c r="B47" s="3" t="s">
        <v>126</v>
      </c>
      <c r="C47" s="10">
        <v>1</v>
      </c>
      <c r="D47" s="3" t="s">
        <v>132</v>
      </c>
      <c r="E47" s="4">
        <f>IFERROR(VLOOKUP(Tableau1[[#This Row],[Niveau]],Tableau2[],2,FALSE),"")</f>
        <v>10</v>
      </c>
      <c r="F47" s="3" t="s">
        <v>127</v>
      </c>
      <c r="K47" s="10" t="b">
        <v>1</v>
      </c>
      <c r="N47" s="4" t="b">
        <f>IF(Tableau1[[#This Row],[Niveau]]=0,TRUE,FALSE)</f>
        <v>0</v>
      </c>
      <c r="O47" s="5" t="s">
        <v>133</v>
      </c>
      <c r="Q47" s="6" t="s">
        <v>65</v>
      </c>
      <c r="R47" s="6" t="str">
        <f>CONCATENATE("&lt;h4 class=""nom""&gt;",Tableau1[[#This Row],[Nom]],"&lt;/h4&gt;")</f>
        <v>&lt;h4 class="nom"&gt;Incantation ajustée&lt;/h4&gt;</v>
      </c>
      <c r="S47" s="6" t="s">
        <v>66</v>
      </c>
      <c r="T47" s="6" t="str">
        <f>IF(Tableau1[[#This Row],[Passif ?]],"&lt;span class=""passive""&gt;Action passive&lt;/span&gt;","")</f>
        <v>&lt;span class="passive"&gt;Action passive&lt;/span&gt;</v>
      </c>
      <c r="U47" s="6" t="str">
        <f>IF(ISBLANK(Tableau1[[#This Row],[Profil]]),"",CONCATENATE("&lt;span class=""profil""&gt;Profil ",Tableau1[[#This Row],[Profil]],"&lt;/span&gt;"))</f>
        <v/>
      </c>
      <c r="V47" s="6" t="str">
        <f>IF(Tableau1[[#This Row],[Innée ?]],"&lt;span class=""innee""&gt;Action innée&lt;/span&gt;","")</f>
        <v/>
      </c>
      <c r="W47" s="6" t="str">
        <f>IF(Tableau1[[#This Row],[Niveau]]&gt;0,CONCATENATE("&lt;span class=""apprentissage""&gt;Apprentissage : &lt;span&gt;",Tableau1[[#This Row],[Caractéristique]], " ",Tableau1[[#This Row],[Apprentissage]],"&lt;/span&gt;&lt;/span&gt;"),"")</f>
        <v>&lt;span class="apprentissage"&gt;Apprentissage : &lt;span&gt;Intelligence 10&lt;/span&gt;&lt;/span&gt;</v>
      </c>
      <c r="X47" s="6" t="s">
        <v>67</v>
      </c>
      <c r="Y47" s="6" t="str">
        <f>CONCATENATE("&lt;p&gt;Exécution : &lt;span&gt;", IF(Tableau1[[#This Row],[Exécution]]&gt;0,Tableau1[[#This Row],[Exécution]],"-"), "&lt;/span&gt;&lt;/p&gt;")</f>
        <v>&lt;p&gt;Exécution : &lt;span&gt;-&lt;/span&gt;&lt;/p&gt;</v>
      </c>
      <c r="Z47" s="6" t="str">
        <f>CONCATENATE("&lt;p&gt;Souffle : &lt;span class=""jauge""&gt;", IF(Tableau1[[#This Row],[Souffle]]&gt;0,Tableau1[[#This Row],[Souffle]],"-"), "&lt;/span&gt;&lt;/p&gt;")</f>
        <v>&lt;p&gt;Souffle : &lt;span class="jauge"&gt;-&lt;/span&gt;&lt;/p&gt;</v>
      </c>
      <c r="AA47" s="6" t="str">
        <f>CONCATENATE("&lt;p&gt;Concentration : &lt;span class=""jauge""&gt;",IF(Tableau1[[#This Row],[Concentration]]&gt;0,Tableau1[[#This Row],[Concentration]],"-"), "&lt;/span&gt;&lt;/p&gt;")</f>
        <v>&lt;p&gt;Concentration : &lt;span class="jauge"&gt;-&lt;/span&gt;&lt;/p&gt;</v>
      </c>
      <c r="AB47" s="6" t="str">
        <f>IF(Tableau1[[#This Row],[Adrénaline]]&gt;0,CONCATENATE("&lt;p&gt;Adrénaline : &lt;span class=""jauge""&gt;", Tableau1[[#This Row],[Adrénaline]], "&lt;/span&gt;&lt;/p&gt;"),"")</f>
        <v/>
      </c>
      <c r="AC47" s="6" t="s">
        <v>50</v>
      </c>
      <c r="AD47" s="6" t="str">
        <f>CONCATENATE("&lt;div class=""effets""&gt;",Tableau1[[#This Row],[Effets]],"&lt;/div&gt;")</f>
        <v>&lt;div class="effets"&gt;Après avoir jeté son dé de sort, le mage peut décider de rajouter des points de &lt;span class="jauge"&gt;Concentration&lt;/span&gt; pour réussir à lancer le sort. Chaque point ajouté ne donne alors qu'un bonus de +2 au total.&lt;/div&gt;</v>
      </c>
      <c r="AE47" s="6" t="s">
        <v>64</v>
      </c>
      <c r="AF47" s="6" t="str">
        <f>CONCATENATE(Tableau1[[#This Row],[HTML_prefix]],Tableau1[[#This Row],[HTML_nom]],Tableau1[[#This Row],[HTML_specs_prefix]],Tableau1[[#This Row],[HTML_passif]],Tableau1[[#This Row],[HTML_profil]],Tableau1[[#This Row],[HTML_innée]],Tableau1[[#This Row],[HTML_apprentissage]],Tableau1[[#This Row],[HTML_specs_col]],Tableau1[[#This Row],[HTML_Execution]],Tableau1[[#This Row],[HTML_Souffle]],Tableau1[[#This Row],[HTML_Concentration]],Tableau1[[#This Row],[HTML_Adrénaline]],Tableau1[[#This Row],[HTML_specs_suffix]],Tableau1[[#This Row],[HTML_effets]],Tableau1[[#This Row],[HTML_suffix]])</f>
        <v>&lt;div class="comp"&gt;&lt;h4 class="nom"&gt;Incantation ajustée&lt;/h4&gt;&lt;table class="spec"&gt;&lt;tr&gt;&lt;td class="left"&gt;&lt;span class="passive"&gt;Action passive&lt;/span&gt;&lt;span class="apprentissage"&gt;Apprentissage : &lt;span&gt;Intelligence 10&lt;/span&gt;&lt;/span&gt;&lt;/td&gt;&lt;td class="right"&gt;&lt;p&gt;Exécution : &lt;span&gt;-&lt;/span&gt;&lt;/p&gt;&lt;p&gt;Souffle : &lt;span class="jauge"&gt;-&lt;/span&gt;&lt;/p&gt;&lt;p&gt;Concentration : &lt;span class="jauge"&gt;-&lt;/span&gt;&lt;/p&gt;&lt;/td&gt;&lt;/tr&gt;&lt;/table class=""spec""&gt;&lt;div class="effets"&gt;Après avoir jeté son dé de sort, le mage peut décider de rajouter des points de &lt;span class="jauge"&gt;Concentration&lt;/span&gt; pour réussir à lancer le sort. Chaque point ajouté ne donne alors qu'un bonus de +2 au total.&lt;/div&gt;&lt;/div&gt;</v>
      </c>
      <c r="AG47" s="8" t="str">
        <f>IF(ISBLANK(Tableau1[[#This Row],[Nom]]),"",IF(B47&lt;&gt;B46,CONCATENATE("&lt;/div&gt;&lt;div class=""voie ",Tableau1[[#This Row],[Caractéristique]],"""&gt;&lt;h3&gt;",Tableau1[[#This Row],[Voie]],"&lt;/h3&gt;",Tableau1[[#This Row],[HTML_ligne]]),Tableau1[[#This Row],[HTML_ligne]]))</f>
        <v>&lt;div class="comp"&gt;&lt;h4 class="nom"&gt;Incantation ajustée&lt;/h4&gt;&lt;table class="spec"&gt;&lt;tr&gt;&lt;td class="left"&gt;&lt;span class="passive"&gt;Action passive&lt;/span&gt;&lt;span class="apprentissage"&gt;Apprentissage : &lt;span&gt;Intelligence 10&lt;/span&gt;&lt;/span&gt;&lt;/td&gt;&lt;td class="right"&gt;&lt;p&gt;Exécution : &lt;span&gt;-&lt;/span&gt;&lt;/p&gt;&lt;p&gt;Souffle : &lt;span class="jauge"&gt;-&lt;/span&gt;&lt;/p&gt;&lt;p&gt;Concentration : &lt;span class="jauge"&gt;-&lt;/span&gt;&lt;/p&gt;&lt;/td&gt;&lt;/tr&gt;&lt;/table class=""spec""&gt;&lt;div class="effets"&gt;Après avoir jeté son dé de sort, le mage peut décider de rajouter des points de &lt;span class="jauge"&gt;Concentration&lt;/span&gt; pour réussir à lancer le sort. Chaque point ajouté ne donne alors qu'un bonus de +2 au total.&lt;/div&gt;&lt;/div&gt;</v>
      </c>
    </row>
    <row r="48" spans="1:33" ht="30" x14ac:dyDescent="0.25">
      <c r="A48" s="12">
        <v>9</v>
      </c>
      <c r="B48" s="3" t="s">
        <v>126</v>
      </c>
      <c r="C48" s="10">
        <v>1</v>
      </c>
      <c r="D48" s="3" t="s">
        <v>254</v>
      </c>
      <c r="E48" s="19">
        <f>IFERROR(VLOOKUP(Tableau1[[#This Row],[Niveau]],Tableau2[],2,FALSE),"")</f>
        <v>10</v>
      </c>
      <c r="F48" s="3" t="s">
        <v>127</v>
      </c>
      <c r="K48" s="10" t="b">
        <v>1</v>
      </c>
      <c r="N48" s="19" t="b">
        <f>IF(Tableau1[[#This Row],[Niveau]]=0,TRUE,FALSE)</f>
        <v>0</v>
      </c>
      <c r="O48" s="5" t="s">
        <v>255</v>
      </c>
      <c r="R48" s="20" t="str">
        <f>CONCATENATE("&lt;h4 class=""nom""&gt;",Tableau1[[#This Row],[Nom]],"&lt;/h4&gt;")</f>
        <v>&lt;h4 class="nom"&gt;Connaissances de la magie&lt;/h4&gt;</v>
      </c>
      <c r="S48" s="20"/>
      <c r="T48" s="20" t="str">
        <f>IF(Tableau1[[#This Row],[Passif ?]],"&lt;span class=""passive""&gt;Action passive&lt;/span&gt;","")</f>
        <v>&lt;span class="passive"&gt;Action passive&lt;/span&gt;</v>
      </c>
      <c r="U48" s="20" t="str">
        <f>IF(ISBLANK(Tableau1[[#This Row],[Profil]]),"",CONCATENATE("&lt;span class=""profil""&gt;Profil ",Tableau1[[#This Row],[Profil]],"&lt;/span&gt;"))</f>
        <v/>
      </c>
      <c r="V48" s="20" t="str">
        <f>IF(Tableau1[[#This Row],[Innée ?]],"&lt;span class=""innee""&gt;Action innée&lt;/span&gt;","")</f>
        <v/>
      </c>
      <c r="W48" s="20" t="str">
        <f>IF(Tableau1[[#This Row],[Niveau]]&gt;0,CONCATENATE("&lt;span class=""apprentissage""&gt;Apprentissage : &lt;span&gt;",Tableau1[[#This Row],[Caractéristique]], " ",Tableau1[[#This Row],[Apprentissage]],"&lt;/span&gt;&lt;/span&gt;"),"")</f>
        <v>&lt;span class="apprentissage"&gt;Apprentissage : &lt;span&gt;Intelligence 10&lt;/span&gt;&lt;/span&gt;</v>
      </c>
      <c r="X48" s="20"/>
      <c r="Y48" s="20" t="str">
        <f>CONCATENATE("&lt;p&gt;Exécution : &lt;span&gt;", IF(Tableau1[[#This Row],[Exécution]]&gt;0,Tableau1[[#This Row],[Exécution]],"-"), "&lt;/span&gt;&lt;/p&gt;")</f>
        <v>&lt;p&gt;Exécution : &lt;span&gt;-&lt;/span&gt;&lt;/p&gt;</v>
      </c>
      <c r="Z48" s="20" t="str">
        <f>CONCATENATE("&lt;p&gt;Souffle : &lt;span class=""jauge""&gt;", IF(Tableau1[[#This Row],[Souffle]]&gt;0,Tableau1[[#This Row],[Souffle]],"-"), "&lt;/span&gt;&lt;/p&gt;")</f>
        <v>&lt;p&gt;Souffle : &lt;span class="jauge"&gt;-&lt;/span&gt;&lt;/p&gt;</v>
      </c>
      <c r="AA48" s="20" t="str">
        <f>CONCATENATE("&lt;p&gt;Concentration : &lt;span class=""jauge""&gt;",IF(Tableau1[[#This Row],[Concentration]]&gt;0,Tableau1[[#This Row],[Concentration]],"-"), "&lt;/span&gt;&lt;/p&gt;")</f>
        <v>&lt;p&gt;Concentration : &lt;span class="jauge"&gt;-&lt;/span&gt;&lt;/p&gt;</v>
      </c>
      <c r="AB48" s="20" t="str">
        <f>IF(Tableau1[[#This Row],[Adrénaline]]&gt;0,CONCATENATE("&lt;p&gt;Adrénaline : &lt;span class=""jauge""&gt;", Tableau1[[#This Row],[Adrénaline]], "&lt;/span&gt;&lt;/p&gt;"),"")</f>
        <v/>
      </c>
      <c r="AC48" s="20"/>
      <c r="AD48" s="20" t="str">
        <f>CONCATENATE("&lt;div class=""effets""&gt;",Tableau1[[#This Row],[Effets]],"&lt;/div&gt;")</f>
        <v>&lt;div class="effets"&gt;Grâce à ses nombreux apprentissages, le personnage est capable de reconnaître l’ensemble des sorts dont le malus d’apprentissage est inférieur ou égal à 20.&lt;/div&gt;</v>
      </c>
      <c r="AE48" s="20"/>
      <c r="AF48" s="20" t="str">
        <f>CONCATENATE(Tableau1[[#This Row],[HTML_prefix]],Tableau1[[#This Row],[HTML_nom]],Tableau1[[#This Row],[HTML_specs_prefix]],Tableau1[[#This Row],[HTML_passif]],Tableau1[[#This Row],[HTML_profil]],Tableau1[[#This Row],[HTML_innée]],Tableau1[[#This Row],[HTML_apprentissage]],Tableau1[[#This Row],[HTML_specs_col]],Tableau1[[#This Row],[HTML_Execution]],Tableau1[[#This Row],[HTML_Souffle]],Tableau1[[#This Row],[HTML_Concentration]],Tableau1[[#This Row],[HTML_Adrénaline]],Tableau1[[#This Row],[HTML_specs_suffix]],Tableau1[[#This Row],[HTML_effets]],Tableau1[[#This Row],[HTML_suffix]])</f>
        <v>&lt;h4 class="nom"&gt;Connaissances de la magie&lt;/h4&gt;&lt;span class="passive"&gt;Action passive&lt;/span&gt;&lt;span class="apprentissage"&gt;Apprentissage : &lt;span&gt;Intelligence 10&lt;/span&gt;&lt;/span&gt;&lt;p&gt;Exécution : &lt;span&gt;-&lt;/span&gt;&lt;/p&gt;&lt;p&gt;Souffle : &lt;span class="jauge"&gt;-&lt;/span&gt;&lt;/p&gt;&lt;p&gt;Concentration : &lt;span class="jauge"&gt;-&lt;/span&gt;&lt;/p&gt;&lt;div class="effets"&gt;Grâce à ses nombreux apprentissages, le personnage est capable de reconnaître l’ensemble des sorts dont le malus d’apprentissage est inférieur ou égal à 20.&lt;/div&gt;</v>
      </c>
      <c r="AG48" s="21" t="str">
        <f>IF(ISBLANK(Tableau1[[#This Row],[Nom]]),"",IF(B48&lt;&gt;B47,CONCATENATE("&lt;/div&gt;&lt;div class=""voie ",Tableau1[[#This Row],[Caractéristique]],"""&gt;&lt;h3&gt;",Tableau1[[#This Row],[Voie]],"&lt;/h3&gt;",Tableau1[[#This Row],[HTML_ligne]]),Tableau1[[#This Row],[HTML_ligne]]))</f>
        <v>&lt;h4 class="nom"&gt;Connaissances de la magie&lt;/h4&gt;&lt;span class="passive"&gt;Action passive&lt;/span&gt;&lt;span class="apprentissage"&gt;Apprentissage : &lt;span&gt;Intelligence 10&lt;/span&gt;&lt;/span&gt;&lt;p&gt;Exécution : &lt;span&gt;-&lt;/span&gt;&lt;/p&gt;&lt;p&gt;Souffle : &lt;span class="jauge"&gt;-&lt;/span&gt;&lt;/p&gt;&lt;p&gt;Concentration : &lt;span class="jauge"&gt;-&lt;/span&gt;&lt;/p&gt;&lt;div class="effets"&gt;Grâce à ses nombreux apprentissages, le personnage est capable de reconnaître l’ensemble des sorts dont le malus d’apprentissage est inférieur ou égal à 20.&lt;/div&gt;</v>
      </c>
    </row>
    <row r="49" spans="1:33" x14ac:dyDescent="0.25">
      <c r="A49" s="12">
        <v>9</v>
      </c>
      <c r="B49" s="3" t="s">
        <v>126</v>
      </c>
      <c r="C49" s="10">
        <v>1</v>
      </c>
      <c r="D49" s="3" t="s">
        <v>256</v>
      </c>
      <c r="E49" s="19">
        <f>IFERROR(VLOOKUP(Tableau1[[#This Row],[Niveau]],Tableau2[],2,FALSE),"")</f>
        <v>10</v>
      </c>
      <c r="F49" s="3" t="s">
        <v>127</v>
      </c>
      <c r="K49" s="10" t="b">
        <v>1</v>
      </c>
      <c r="N49" s="19" t="b">
        <f>IF(Tableau1[[#This Row],[Niveau]]=0,TRUE,FALSE)</f>
        <v>0</v>
      </c>
      <c r="O49" s="5" t="s">
        <v>257</v>
      </c>
      <c r="R49" s="20" t="str">
        <f>CONCATENATE("&lt;h4 class=""nom""&gt;",Tableau1[[#This Row],[Nom]],"&lt;/h4&gt;")</f>
        <v>&lt;h4 class="nom"&gt;Maitrise de la magie XXX&lt;/h4&gt;</v>
      </c>
      <c r="S49" s="20"/>
      <c r="T49" s="20" t="str">
        <f>IF(Tableau1[[#This Row],[Passif ?]],"&lt;span class=""passive""&gt;Action passive&lt;/span&gt;","")</f>
        <v>&lt;span class="passive"&gt;Action passive&lt;/span&gt;</v>
      </c>
      <c r="U49" s="20" t="str">
        <f>IF(ISBLANK(Tableau1[[#This Row],[Profil]]),"",CONCATENATE("&lt;span class=""profil""&gt;Profil ",Tableau1[[#This Row],[Profil]],"&lt;/span&gt;"))</f>
        <v/>
      </c>
      <c r="V49" s="20" t="str">
        <f>IF(Tableau1[[#This Row],[Innée ?]],"&lt;span class=""innee""&gt;Action innée&lt;/span&gt;","")</f>
        <v/>
      </c>
      <c r="W49" s="20" t="str">
        <f>IF(Tableau1[[#This Row],[Niveau]]&gt;0,CONCATENATE("&lt;span class=""apprentissage""&gt;Apprentissage : &lt;span&gt;",Tableau1[[#This Row],[Caractéristique]], " ",Tableau1[[#This Row],[Apprentissage]],"&lt;/span&gt;&lt;/span&gt;"),"")</f>
        <v>&lt;span class="apprentissage"&gt;Apprentissage : &lt;span&gt;Intelligence 10&lt;/span&gt;&lt;/span&gt;</v>
      </c>
      <c r="X49" s="20"/>
      <c r="Y49" s="20" t="str">
        <f>CONCATENATE("&lt;p&gt;Exécution : &lt;span&gt;", IF(Tableau1[[#This Row],[Exécution]]&gt;0,Tableau1[[#This Row],[Exécution]],"-"), "&lt;/span&gt;&lt;/p&gt;")</f>
        <v>&lt;p&gt;Exécution : &lt;span&gt;-&lt;/span&gt;&lt;/p&gt;</v>
      </c>
      <c r="Z49" s="20" t="str">
        <f>CONCATENATE("&lt;p&gt;Souffle : &lt;span class=""jauge""&gt;", IF(Tableau1[[#This Row],[Souffle]]&gt;0,Tableau1[[#This Row],[Souffle]],"-"), "&lt;/span&gt;&lt;/p&gt;")</f>
        <v>&lt;p&gt;Souffle : &lt;span class="jauge"&gt;-&lt;/span&gt;&lt;/p&gt;</v>
      </c>
      <c r="AA49" s="20" t="str">
        <f>CONCATENATE("&lt;p&gt;Concentration : &lt;span class=""jauge""&gt;",IF(Tableau1[[#This Row],[Concentration]]&gt;0,Tableau1[[#This Row],[Concentration]],"-"), "&lt;/span&gt;&lt;/p&gt;")</f>
        <v>&lt;p&gt;Concentration : &lt;span class="jauge"&gt;-&lt;/span&gt;&lt;/p&gt;</v>
      </c>
      <c r="AB49" s="20" t="str">
        <f>IF(Tableau1[[#This Row],[Adrénaline]]&gt;0,CONCATENATE("&lt;p&gt;Adrénaline : &lt;span class=""jauge""&gt;", Tableau1[[#This Row],[Adrénaline]], "&lt;/span&gt;&lt;/p&gt;"),"")</f>
        <v/>
      </c>
      <c r="AC49" s="20"/>
      <c r="AD49" s="20" t="str">
        <f>CONCATENATE("&lt;div class=""effets""&gt;",Tableau1[[#This Row],[Effets]],"&lt;/div&gt;")</f>
        <v>&lt;div class="effets"&gt;Le personnage devient spécialiste dans l’utilisation de ce domaine de magie. Il gagne automatique un bonus de +1 pour lancer les sorts de ce domaine.&lt;/div&gt;</v>
      </c>
      <c r="AE49" s="20"/>
      <c r="AF49" s="20" t="str">
        <f>CONCATENATE(Tableau1[[#This Row],[HTML_prefix]],Tableau1[[#This Row],[HTML_nom]],Tableau1[[#This Row],[HTML_specs_prefix]],Tableau1[[#This Row],[HTML_passif]],Tableau1[[#This Row],[HTML_profil]],Tableau1[[#This Row],[HTML_innée]],Tableau1[[#This Row],[HTML_apprentissage]],Tableau1[[#This Row],[HTML_specs_col]],Tableau1[[#This Row],[HTML_Execution]],Tableau1[[#This Row],[HTML_Souffle]],Tableau1[[#This Row],[HTML_Concentration]],Tableau1[[#This Row],[HTML_Adrénaline]],Tableau1[[#This Row],[HTML_specs_suffix]],Tableau1[[#This Row],[HTML_effets]],Tableau1[[#This Row],[HTML_suffix]])</f>
        <v>&lt;h4 class="nom"&gt;Maitrise de la magie XXX&lt;/h4&gt;&lt;span class="passive"&gt;Action passive&lt;/span&gt;&lt;span class="apprentissage"&gt;Apprentissage : &lt;span&gt;Intelligence 10&lt;/span&gt;&lt;/span&gt;&lt;p&gt;Exécution : &lt;span&gt;-&lt;/span&gt;&lt;/p&gt;&lt;p&gt;Souffle : &lt;span class="jauge"&gt;-&lt;/span&gt;&lt;/p&gt;&lt;p&gt;Concentration : &lt;span class="jauge"&gt;-&lt;/span&gt;&lt;/p&gt;&lt;div class="effets"&gt;Le personnage devient spécialiste dans l’utilisation de ce domaine de magie. Il gagne automatique un bonus de +1 pour lancer les sorts de ce domaine.&lt;/div&gt;</v>
      </c>
      <c r="AG49" s="21" t="str">
        <f>IF(ISBLANK(Tableau1[[#This Row],[Nom]]),"",IF(B49&lt;&gt;B48,CONCATENATE("&lt;/div&gt;&lt;div class=""voie ",Tableau1[[#This Row],[Caractéristique]],"""&gt;&lt;h3&gt;",Tableau1[[#This Row],[Voie]],"&lt;/h3&gt;",Tableau1[[#This Row],[HTML_ligne]]),Tableau1[[#This Row],[HTML_ligne]]))</f>
        <v>&lt;h4 class="nom"&gt;Maitrise de la magie XXX&lt;/h4&gt;&lt;span class="passive"&gt;Action passive&lt;/span&gt;&lt;span class="apprentissage"&gt;Apprentissage : &lt;span&gt;Intelligence 10&lt;/span&gt;&lt;/span&gt;&lt;p&gt;Exécution : &lt;span&gt;-&lt;/span&gt;&lt;/p&gt;&lt;p&gt;Souffle : &lt;span class="jauge"&gt;-&lt;/span&gt;&lt;/p&gt;&lt;p&gt;Concentration : &lt;span class="jauge"&gt;-&lt;/span&gt;&lt;/p&gt;&lt;div class="effets"&gt;Le personnage devient spécialiste dans l’utilisation de ce domaine de magie. Il gagne automatique un bonus de +1 pour lancer les sorts de ce domaine.&lt;/div&gt;</v>
      </c>
    </row>
    <row r="50" spans="1:33" x14ac:dyDescent="0.25">
      <c r="B50" s="3" t="s">
        <v>151</v>
      </c>
      <c r="C50" s="10">
        <v>1</v>
      </c>
      <c r="D50" s="3" t="s">
        <v>152</v>
      </c>
      <c r="E50" s="4">
        <f>IFERROR(VLOOKUP(Tableau1[[#This Row],[Niveau]],Tableau2[],2,FALSE),"")</f>
        <v>10</v>
      </c>
      <c r="F50" s="3" t="s">
        <v>58</v>
      </c>
      <c r="K50" s="10" t="b">
        <v>1</v>
      </c>
      <c r="N50" s="4" t="b">
        <f>IF(Tableau1[[#This Row],[Niveau]]=0,TRUE,FALSE)</f>
        <v>0</v>
      </c>
      <c r="O50" s="5" t="s">
        <v>153</v>
      </c>
      <c r="P50" s="3"/>
      <c r="Q50" s="6" t="s">
        <v>65</v>
      </c>
      <c r="R50" s="6" t="str">
        <f>CONCATENATE("&lt;h4 class=""nom""&gt;",Tableau1[[#This Row],[Nom]],"&lt;/h4&gt;")</f>
        <v>&lt;h4 class="nom"&gt;Pied sûr&lt;/h4&gt;</v>
      </c>
      <c r="S50" s="6" t="s">
        <v>66</v>
      </c>
      <c r="T50" s="6" t="str">
        <f>IF(Tableau1[[#This Row],[Passif ?]],"&lt;span class=""passive""&gt;Action passive&lt;/span&gt;","")</f>
        <v>&lt;span class="passive"&gt;Action passive&lt;/span&gt;</v>
      </c>
      <c r="U50" s="6" t="str">
        <f>IF(ISBLANK(Tableau1[[#This Row],[Profil]]),"",CONCATENATE("&lt;span class=""profil""&gt;Profil ",Tableau1[[#This Row],[Profil]],"&lt;/span&gt;"))</f>
        <v/>
      </c>
      <c r="V50" s="6" t="str">
        <f>IF(Tableau1[[#This Row],[Innée ?]],"&lt;span class=""innee""&gt;Action innée&lt;/span&gt;","")</f>
        <v/>
      </c>
      <c r="W50" s="6" t="str">
        <f>IF(Tableau1[[#This Row],[Niveau]]&gt;0,CONCATENATE("&lt;span class=""apprentissage""&gt;Apprentissage : &lt;span&gt;",Tableau1[[#This Row],[Caractéristique]], " ",Tableau1[[#This Row],[Apprentissage]],"&lt;/span&gt;&lt;/span&gt;"),"")</f>
        <v>&lt;span class="apprentissage"&gt;Apprentissage : &lt;span&gt;Adresse 10&lt;/span&gt;&lt;/span&gt;</v>
      </c>
      <c r="X50" s="6" t="s">
        <v>67</v>
      </c>
      <c r="Y50" s="6" t="str">
        <f>CONCATENATE("&lt;p&gt;Exécution : &lt;span&gt;", IF(Tableau1[[#This Row],[Exécution]]&gt;0,Tableau1[[#This Row],[Exécution]],"-"), "&lt;/span&gt;&lt;/p&gt;")</f>
        <v>&lt;p&gt;Exécution : &lt;span&gt;-&lt;/span&gt;&lt;/p&gt;</v>
      </c>
      <c r="Z50" s="6" t="str">
        <f>CONCATENATE("&lt;p&gt;Souffle : &lt;span class=""jauge""&gt;", IF(Tableau1[[#This Row],[Souffle]]&gt;0,Tableau1[[#This Row],[Souffle]],"-"), "&lt;/span&gt;&lt;/p&gt;")</f>
        <v>&lt;p&gt;Souffle : &lt;span class="jauge"&gt;-&lt;/span&gt;&lt;/p&gt;</v>
      </c>
      <c r="AA50" s="6" t="str">
        <f>CONCATENATE("&lt;p&gt;Concentration : &lt;span class=""jauge""&gt;",IF(Tableau1[[#This Row],[Concentration]]&gt;0,Tableau1[[#This Row],[Concentration]],"-"), "&lt;/span&gt;&lt;/p&gt;")</f>
        <v>&lt;p&gt;Concentration : &lt;span class="jauge"&gt;-&lt;/span&gt;&lt;/p&gt;</v>
      </c>
      <c r="AB50" s="6" t="str">
        <f>IF(Tableau1[[#This Row],[Adrénaline]]&gt;0,CONCATENATE("&lt;p&gt;Adrénaline : &lt;span class=""jauge""&gt;", Tableau1[[#This Row],[Adrénaline]], "&lt;/span&gt;&lt;/p&gt;"),"")</f>
        <v/>
      </c>
      <c r="AC50" s="6" t="s">
        <v>50</v>
      </c>
      <c r="AD50" s="6" t="str">
        <f>CONCATENATE("&lt;div class=""effets""&gt;",Tableau1[[#This Row],[Effets]],"&lt;/div&gt;")</f>
        <v>&lt;div class="effets"&gt;Lorsqu'il rate un test d'&lt;span class="stat"&gt;Adresse&lt;/span&gt; à cause d'un terrain difficile, il peut relancer le test.&lt;/div&gt;</v>
      </c>
      <c r="AE50" s="6" t="s">
        <v>64</v>
      </c>
      <c r="AF50" s="6" t="str">
        <f>CONCATENATE(Tableau1[[#This Row],[HTML_prefix]],Tableau1[[#This Row],[HTML_nom]],Tableau1[[#This Row],[HTML_specs_prefix]],Tableau1[[#This Row],[HTML_passif]],Tableau1[[#This Row],[HTML_profil]],Tableau1[[#This Row],[HTML_innée]],Tableau1[[#This Row],[HTML_apprentissage]],Tableau1[[#This Row],[HTML_specs_col]],Tableau1[[#This Row],[HTML_Execution]],Tableau1[[#This Row],[HTML_Souffle]],Tableau1[[#This Row],[HTML_Concentration]],Tableau1[[#This Row],[HTML_Adrénaline]],Tableau1[[#This Row],[HTML_specs_suffix]],Tableau1[[#This Row],[HTML_effets]],Tableau1[[#This Row],[HTML_suffix]])</f>
        <v>&lt;div class="comp"&gt;&lt;h4 class="nom"&gt;Pied sûr&lt;/h4&gt;&lt;table class="spec"&gt;&lt;tr&gt;&lt;td class="left"&gt;&lt;span class="passive"&gt;Action passive&lt;/span&gt;&lt;span class="apprentissage"&gt;Apprentissage : &lt;span&gt;Adresse 10&lt;/span&gt;&lt;/span&gt;&lt;/td&gt;&lt;td class="right"&gt;&lt;p&gt;Exécution : &lt;span&gt;-&lt;/span&gt;&lt;/p&gt;&lt;p&gt;Souffle : &lt;span class="jauge"&gt;-&lt;/span&gt;&lt;/p&gt;&lt;p&gt;Concentration : &lt;span class="jauge"&gt;-&lt;/span&gt;&lt;/p&gt;&lt;/td&gt;&lt;/tr&gt;&lt;/table class=""spec""&gt;&lt;div class="effets"&gt;Lorsqu'il rate un test d'&lt;span class="stat"&gt;Adresse&lt;/span&gt; à cause d'un terrain difficile, il peut relancer le test.&lt;/div&gt;&lt;/div&gt;</v>
      </c>
      <c r="AG50" s="8" t="str">
        <f>IF(ISBLANK(Tableau1[[#This Row],[Nom]]),"",IF(B50&lt;&gt;B47,CONCATENATE("&lt;/div&gt;&lt;div class=""voie ",Tableau1[[#This Row],[Caractéristique]],"""&gt;&lt;h3&gt;",Tableau1[[#This Row],[Voie]],"&lt;/h3&gt;",Tableau1[[#This Row],[HTML_ligne]]),Tableau1[[#This Row],[HTML_ligne]]))</f>
        <v>&lt;/div&gt;&lt;div class="voie Adresse"&gt;&lt;h3&gt;Accrobate&lt;/h3&gt;&lt;div class="comp"&gt;&lt;h4 class="nom"&gt;Pied sûr&lt;/h4&gt;&lt;table class="spec"&gt;&lt;tr&gt;&lt;td class="left"&gt;&lt;span class="passive"&gt;Action passive&lt;/span&gt;&lt;span class="apprentissage"&gt;Apprentissage : &lt;span&gt;Adresse 10&lt;/span&gt;&lt;/span&gt;&lt;/td&gt;&lt;td class="right"&gt;&lt;p&gt;Exécution : &lt;span&gt;-&lt;/span&gt;&lt;/p&gt;&lt;p&gt;Souffle : &lt;span class="jauge"&gt;-&lt;/span&gt;&lt;/p&gt;&lt;p&gt;Concentration : &lt;span class="jauge"&gt;-&lt;/span&gt;&lt;/p&gt;&lt;/td&gt;&lt;/tr&gt;&lt;/table class=""spec""&gt;&lt;div class="effets"&gt;Lorsqu'il rate un test d'&lt;span class="stat"&gt;Adresse&lt;/span&gt; à cause d'un terrain difficile, il peut relancer le test.&lt;/div&gt;&lt;/div&gt;</v>
      </c>
    </row>
    <row r="51" spans="1:33" ht="30" x14ac:dyDescent="0.25">
      <c r="B51" s="3" t="s">
        <v>151</v>
      </c>
      <c r="C51" s="10">
        <v>2</v>
      </c>
      <c r="D51" s="3" t="s">
        <v>154</v>
      </c>
      <c r="E51" s="4">
        <f>IFERROR(VLOOKUP(Tableau1[[#This Row],[Niveau]],Tableau2[],2,FALSE),"")</f>
        <v>15</v>
      </c>
      <c r="F51" s="3" t="s">
        <v>58</v>
      </c>
      <c r="K51" s="10" t="b">
        <v>1</v>
      </c>
      <c r="N51" s="4" t="b">
        <f>IF(Tableau1[[#This Row],[Niveau]]=0,TRUE,FALSE)</f>
        <v>0</v>
      </c>
      <c r="O51" s="5" t="s">
        <v>184</v>
      </c>
      <c r="P51" s="3"/>
      <c r="Q51" s="6" t="s">
        <v>65</v>
      </c>
      <c r="R51" s="6" t="str">
        <f>CONCATENATE("&lt;h4 class=""nom""&gt;",Tableau1[[#This Row],[Nom]],"&lt;/h4&gt;")</f>
        <v>&lt;h4 class="nom"&gt;Agilité hors norme&lt;/h4&gt;</v>
      </c>
      <c r="S51" s="6" t="s">
        <v>66</v>
      </c>
      <c r="T51" s="6" t="str">
        <f>IF(Tableau1[[#This Row],[Passif ?]],"&lt;span class=""passive""&gt;Action passive&lt;/span&gt;","")</f>
        <v>&lt;span class="passive"&gt;Action passive&lt;/span&gt;</v>
      </c>
      <c r="U51" s="6" t="str">
        <f>IF(ISBLANK(Tableau1[[#This Row],[Profil]]),"",CONCATENATE("&lt;span class=""profil""&gt;Profil ",Tableau1[[#This Row],[Profil]],"&lt;/span&gt;"))</f>
        <v/>
      </c>
      <c r="V51" s="6" t="str">
        <f>IF(Tableau1[[#This Row],[Innée ?]],"&lt;span class=""innee""&gt;Action innée&lt;/span&gt;","")</f>
        <v/>
      </c>
      <c r="W51" s="6" t="str">
        <f>IF(Tableau1[[#This Row],[Niveau]]&gt;0,CONCATENATE("&lt;span class=""apprentissage""&gt;Apprentissage : &lt;span&gt;",Tableau1[[#This Row],[Caractéristique]], " ",Tableau1[[#This Row],[Apprentissage]],"&lt;/span&gt;&lt;/span&gt;"),"")</f>
        <v>&lt;span class="apprentissage"&gt;Apprentissage : &lt;span&gt;Adresse 15&lt;/span&gt;&lt;/span&gt;</v>
      </c>
      <c r="X51" s="6" t="s">
        <v>67</v>
      </c>
      <c r="Y51" s="6" t="str">
        <f>CONCATENATE("&lt;p&gt;Exécution : &lt;span&gt;", IF(Tableau1[[#This Row],[Exécution]]&gt;0,Tableau1[[#This Row],[Exécution]],"-"), "&lt;/span&gt;&lt;/p&gt;")</f>
        <v>&lt;p&gt;Exécution : &lt;span&gt;-&lt;/span&gt;&lt;/p&gt;</v>
      </c>
      <c r="Z51" s="6" t="str">
        <f>CONCATENATE("&lt;p&gt;Souffle : &lt;span class=""jauge""&gt;", IF(Tableau1[[#This Row],[Souffle]]&gt;0,Tableau1[[#This Row],[Souffle]],"-"), "&lt;/span&gt;&lt;/p&gt;")</f>
        <v>&lt;p&gt;Souffle : &lt;span class="jauge"&gt;-&lt;/span&gt;&lt;/p&gt;</v>
      </c>
      <c r="AA51" s="6" t="str">
        <f>CONCATENATE("&lt;p&gt;Concentration : &lt;span class=""jauge""&gt;",IF(Tableau1[[#This Row],[Concentration]]&gt;0,Tableau1[[#This Row],[Concentration]],"-"), "&lt;/span&gt;&lt;/p&gt;")</f>
        <v>&lt;p&gt;Concentration : &lt;span class="jauge"&gt;-&lt;/span&gt;&lt;/p&gt;</v>
      </c>
      <c r="AB51" s="6" t="str">
        <f>IF(Tableau1[[#This Row],[Adrénaline]]&gt;0,CONCATENATE("&lt;p&gt;Adrénaline : &lt;span class=""jauge""&gt;", Tableau1[[#This Row],[Adrénaline]], "&lt;/span&gt;&lt;/p&gt;"),"")</f>
        <v/>
      </c>
      <c r="AC51" s="6" t="s">
        <v>50</v>
      </c>
      <c r="AD51" s="6" t="str">
        <f>CONCATENATE("&lt;div class=""effets""&gt;",Tableau1[[#This Row],[Effets]],"&lt;/div&gt;")</f>
        <v>&lt;div class="effets"&gt;Sauter, grimper et faire des accrobaties sont choses aisées pour le personnage qui gagne un bonus de +5 aux jets pour évaluer un déplacement ou une accrobatie.&lt;/div&gt;</v>
      </c>
      <c r="AE51" s="6" t="s">
        <v>64</v>
      </c>
      <c r="AF51" s="6" t="str">
        <f>CONCATENATE(Tableau1[[#This Row],[HTML_prefix]],Tableau1[[#This Row],[HTML_nom]],Tableau1[[#This Row],[HTML_specs_prefix]],Tableau1[[#This Row],[HTML_passif]],Tableau1[[#This Row],[HTML_profil]],Tableau1[[#This Row],[HTML_innée]],Tableau1[[#This Row],[HTML_apprentissage]],Tableau1[[#This Row],[HTML_specs_col]],Tableau1[[#This Row],[HTML_Execution]],Tableau1[[#This Row],[HTML_Souffle]],Tableau1[[#This Row],[HTML_Concentration]],Tableau1[[#This Row],[HTML_Adrénaline]],Tableau1[[#This Row],[HTML_specs_suffix]],Tableau1[[#This Row],[HTML_effets]],Tableau1[[#This Row],[HTML_suffix]])</f>
        <v>&lt;div class="comp"&gt;&lt;h4 class="nom"&gt;Agilité hors norme&lt;/h4&gt;&lt;table class="spec"&gt;&lt;tr&gt;&lt;td class="left"&gt;&lt;span class="passive"&gt;Action passive&lt;/span&gt;&lt;span class="apprentissage"&gt;Apprentissage : &lt;span&gt;Adresse 15&lt;/span&gt;&lt;/span&gt;&lt;/td&gt;&lt;td class="right"&gt;&lt;p&gt;Exécution : &lt;span&gt;-&lt;/span&gt;&lt;/p&gt;&lt;p&gt;Souffle : &lt;span class="jauge"&gt;-&lt;/span&gt;&lt;/p&gt;&lt;p&gt;Concentration : &lt;span class="jauge"&gt;-&lt;/span&gt;&lt;/p&gt;&lt;/td&gt;&lt;/tr&gt;&lt;/table class=""spec""&gt;&lt;div class="effets"&gt;Sauter, grimper et faire des accrobaties sont choses aisées pour le personnage qui gagne un bonus de +5 aux jets pour évaluer un déplacement ou une accrobatie.&lt;/div&gt;&lt;/div&gt;</v>
      </c>
      <c r="AG51" s="8" t="str">
        <f>IF(ISBLANK(Tableau1[[#This Row],[Nom]]),"",IF(B51&lt;&gt;B50,CONCATENATE("&lt;/div&gt;&lt;div class=""voie ",Tableau1[[#This Row],[Caractéristique]],"""&gt;&lt;h3&gt;",Tableau1[[#This Row],[Voie]],"&lt;/h3&gt;",Tableau1[[#This Row],[HTML_ligne]]),Tableau1[[#This Row],[HTML_ligne]]))</f>
        <v>&lt;div class="comp"&gt;&lt;h4 class="nom"&gt;Agilité hors norme&lt;/h4&gt;&lt;table class="spec"&gt;&lt;tr&gt;&lt;td class="left"&gt;&lt;span class="passive"&gt;Action passive&lt;/span&gt;&lt;span class="apprentissage"&gt;Apprentissage : &lt;span&gt;Adresse 15&lt;/span&gt;&lt;/span&gt;&lt;/td&gt;&lt;td class="right"&gt;&lt;p&gt;Exécution : &lt;span&gt;-&lt;/span&gt;&lt;/p&gt;&lt;p&gt;Souffle : &lt;span class="jauge"&gt;-&lt;/span&gt;&lt;/p&gt;&lt;p&gt;Concentration : &lt;span class="jauge"&gt;-&lt;/span&gt;&lt;/p&gt;&lt;/td&gt;&lt;/tr&gt;&lt;/table class=""spec""&gt;&lt;div class="effets"&gt;Sauter, grimper et faire des accrobaties sont choses aisées pour le personnage qui gagne un bonus de +5 aux jets pour évaluer un déplacement ou une accrobatie.&lt;/div&gt;&lt;/div&gt;</v>
      </c>
    </row>
    <row r="52" spans="1:33" x14ac:dyDescent="0.25">
      <c r="B52" s="3" t="s">
        <v>14</v>
      </c>
      <c r="C52" s="10">
        <v>1</v>
      </c>
      <c r="D52" s="3" t="s">
        <v>142</v>
      </c>
      <c r="E52" s="4"/>
      <c r="F52" s="3" t="s">
        <v>127</v>
      </c>
      <c r="K52" s="10" t="b">
        <v>1</v>
      </c>
      <c r="N52" s="4"/>
      <c r="O52" s="5" t="s">
        <v>143</v>
      </c>
      <c r="P52" s="3"/>
      <c r="Q52" s="6" t="s">
        <v>65</v>
      </c>
      <c r="R52" s="6" t="str">
        <f>CONCATENATE("&lt;h4 class=""nom""&gt;",Tableau1[[#This Row],[Nom]],"&lt;/h4&gt;")</f>
        <v>&lt;h4 class="nom"&gt;Débrouillard&lt;/h4&gt;</v>
      </c>
      <c r="S52" s="6" t="s">
        <v>66</v>
      </c>
      <c r="T52" s="6" t="str">
        <f>IF(Tableau1[[#This Row],[Passif ?]],"&lt;span class=""passive""&gt;Action passive&lt;/span&gt;","")</f>
        <v>&lt;span class="passive"&gt;Action passive&lt;/span&gt;</v>
      </c>
      <c r="U52" s="6" t="str">
        <f>IF(ISBLANK(Tableau1[[#This Row],[Profil]]),"",CONCATENATE("&lt;span class=""profil""&gt;Profil ",Tableau1[[#This Row],[Profil]],"&lt;/span&gt;"))</f>
        <v/>
      </c>
      <c r="V52" s="6" t="str">
        <f>IF(Tableau1[[#This Row],[Innée ?]],"&lt;span class=""innee""&gt;Action innée&lt;/span&gt;","")</f>
        <v/>
      </c>
      <c r="W52" s="6" t="str">
        <f>IF(Tableau1[[#This Row],[Niveau]]&gt;0,CONCATENATE("&lt;span class=""apprentissage""&gt;Apprentissage : &lt;span&gt;",Tableau1[[#This Row],[Caractéristique]], " ",Tableau1[[#This Row],[Apprentissage]],"&lt;/span&gt;&lt;/span&gt;"),"")</f>
        <v>&lt;span class="apprentissage"&gt;Apprentissage : &lt;span&gt;Intelligence &lt;/span&gt;&lt;/span&gt;</v>
      </c>
      <c r="X52" s="6" t="s">
        <v>67</v>
      </c>
      <c r="Y52" s="6" t="str">
        <f>CONCATENATE("&lt;p&gt;Exécution : &lt;span&gt;", IF(Tableau1[[#This Row],[Exécution]]&gt;0,Tableau1[[#This Row],[Exécution]],"-"), "&lt;/span&gt;&lt;/p&gt;")</f>
        <v>&lt;p&gt;Exécution : &lt;span&gt;-&lt;/span&gt;&lt;/p&gt;</v>
      </c>
      <c r="Z52" s="6" t="str">
        <f>CONCATENATE("&lt;p&gt;Souffle : &lt;span class=""jauge""&gt;", IF(Tableau1[[#This Row],[Souffle]]&gt;0,Tableau1[[#This Row],[Souffle]],"-"), "&lt;/span&gt;&lt;/p&gt;")</f>
        <v>&lt;p&gt;Souffle : &lt;span class="jauge"&gt;-&lt;/span&gt;&lt;/p&gt;</v>
      </c>
      <c r="AA52" s="6" t="str">
        <f>CONCATENATE("&lt;p&gt;Concentration : &lt;span class=""jauge""&gt;",IF(Tableau1[[#This Row],[Concentration]]&gt;0,Tableau1[[#This Row],[Concentration]],"-"), "&lt;/span&gt;&lt;/p&gt;")</f>
        <v>&lt;p&gt;Concentration : &lt;span class="jauge"&gt;-&lt;/span&gt;&lt;/p&gt;</v>
      </c>
      <c r="AB52" s="6" t="str">
        <f>IF(Tableau1[[#This Row],[Adrénaline]]&gt;0,CONCATENATE("&lt;p&gt;Adrénaline : &lt;span class=""jauge""&gt;", Tableau1[[#This Row],[Adrénaline]], "&lt;/span&gt;&lt;/p&gt;"),"")</f>
        <v/>
      </c>
      <c r="AC52" s="6" t="s">
        <v>50</v>
      </c>
      <c r="AD52" s="6" t="str">
        <f>CONCATENATE("&lt;div class=""effets""&gt;",Tableau1[[#This Row],[Effets]],"&lt;/div&gt;")</f>
        <v>&lt;div class="effets"&gt;Réduit de 2 les prérequis à l'utilisation des armes et armures&lt;/div&gt;</v>
      </c>
      <c r="AE52" s="6" t="s">
        <v>64</v>
      </c>
      <c r="AF52" s="6" t="str">
        <f>CONCATENATE(Tableau1[[#This Row],[HTML_prefix]],Tableau1[[#This Row],[HTML_nom]],Tableau1[[#This Row],[HTML_specs_prefix]],Tableau1[[#This Row],[HTML_passif]],Tableau1[[#This Row],[HTML_profil]],Tableau1[[#This Row],[HTML_innée]],Tableau1[[#This Row],[HTML_apprentissage]],Tableau1[[#This Row],[HTML_specs_col]],Tableau1[[#This Row],[HTML_Execution]],Tableau1[[#This Row],[HTML_Souffle]],Tableau1[[#This Row],[HTML_Concentration]],Tableau1[[#This Row],[HTML_Adrénaline]],Tableau1[[#This Row],[HTML_specs_suffix]],Tableau1[[#This Row],[HTML_effets]],Tableau1[[#This Row],[HTML_suffix]])</f>
        <v>&lt;div class="comp"&gt;&lt;h4 class="nom"&gt;Débrouillard&lt;/h4&gt;&lt;table class="spec"&gt;&lt;tr&gt;&lt;td class="left"&gt;&lt;span class="passive"&gt;Action passive&lt;/span&gt;&lt;span class="apprentissage"&gt;Apprentissage : &lt;span&gt;Intelligence &lt;/span&gt;&lt;/span&gt;&lt;/td&gt;&lt;td class="right"&gt;&lt;p&gt;Exécution : &lt;span&gt;-&lt;/span&gt;&lt;/p&gt;&lt;p&gt;Souffle : &lt;span class="jauge"&gt;-&lt;/span&gt;&lt;/p&gt;&lt;p&gt;Concentration : &lt;span class="jauge"&gt;-&lt;/span&gt;&lt;/p&gt;&lt;/td&gt;&lt;/tr&gt;&lt;/table class=""spec""&gt;&lt;div class="effets"&gt;Réduit de 2 les prérequis à l'utilisation des armes et armures&lt;/div&gt;&lt;/div&gt;</v>
      </c>
      <c r="AG52" s="8" t="str">
        <f>IF(ISBLANK(Tableau1[[#This Row],[Nom]]),"",IF(B52&lt;&gt;B51,CONCATENATE("&lt;/div&gt;&lt;div class=""voie ",Tableau1[[#This Row],[Caractéristique]],"""&gt;&lt;h3&gt;",Tableau1[[#This Row],[Voie]],"&lt;/h3&gt;",Tableau1[[#This Row],[HTML_ligne]]),Tableau1[[#This Row],[HTML_ligne]]))</f>
        <v>&lt;/div&gt;&lt;div class="voie Intelligence"&gt;&lt;h3&gt;Apprentissage&lt;/h3&gt;&lt;div class="comp"&gt;&lt;h4 class="nom"&gt;Débrouillard&lt;/h4&gt;&lt;table class="spec"&gt;&lt;tr&gt;&lt;td class="left"&gt;&lt;span class="passive"&gt;Action passive&lt;/span&gt;&lt;span class="apprentissage"&gt;Apprentissage : &lt;span&gt;Intelligence &lt;/span&gt;&lt;/span&gt;&lt;/td&gt;&lt;td class="right"&gt;&lt;p&gt;Exécution : &lt;span&gt;-&lt;/span&gt;&lt;/p&gt;&lt;p&gt;Souffle : &lt;span class="jauge"&gt;-&lt;/span&gt;&lt;/p&gt;&lt;p&gt;Concentration : &lt;span class="jauge"&gt;-&lt;/span&gt;&lt;/p&gt;&lt;/td&gt;&lt;/tr&gt;&lt;/table class=""spec""&gt;&lt;div class="effets"&gt;Réduit de 2 les prérequis à l'utilisation des armes et armures&lt;/div&gt;&lt;/div&gt;</v>
      </c>
    </row>
    <row r="53" spans="1:33" ht="45" x14ac:dyDescent="0.25">
      <c r="B53" s="3" t="s">
        <v>162</v>
      </c>
      <c r="C53" s="10">
        <v>1</v>
      </c>
      <c r="D53" s="3" t="s">
        <v>163</v>
      </c>
      <c r="E53" s="4">
        <f>IFERROR(VLOOKUP(Tableau1[[#This Row],[Niveau]],Tableau2[],2,FALSE),"")</f>
        <v>10</v>
      </c>
      <c r="F53" s="3" t="s">
        <v>57</v>
      </c>
      <c r="G53" s="10">
        <v>5</v>
      </c>
      <c r="L53" s="10" t="b">
        <v>1</v>
      </c>
      <c r="N53" s="4" t="b">
        <f>IF(Tableau1[[#This Row],[Niveau]]=0,TRUE,FALSE)</f>
        <v>0</v>
      </c>
      <c r="O53" s="5" t="s">
        <v>198</v>
      </c>
      <c r="Q53" s="6" t="s">
        <v>65</v>
      </c>
      <c r="R53" s="6" t="str">
        <f>CONCATENATE("&lt;h4 class=""nom""&gt;",Tableau1[[#This Row],[Nom]],"&lt;/h4&gt;")</f>
        <v>&lt;h4 class="nom"&gt;Combat à mains nues&lt;/h4&gt;</v>
      </c>
      <c r="S53" s="6" t="s">
        <v>66</v>
      </c>
      <c r="T53" s="6" t="str">
        <f>IF(Tableau1[[#This Row],[Passif ?]],"&lt;span class=""passive""&gt;Action passive&lt;/span&gt;","")</f>
        <v/>
      </c>
      <c r="U53" s="6" t="str">
        <f>IF(ISBLANK(Tableau1[[#This Row],[Profil]]),"",CONCATENATE("&lt;span class=""profil""&gt;Profil ",Tableau1[[#This Row],[Profil]],"&lt;/span&gt;"))</f>
        <v/>
      </c>
      <c r="V53" s="6" t="str">
        <f>IF(Tableau1[[#This Row],[Innée ?]],"&lt;span class=""innee""&gt;Action innée&lt;/span&gt;","")</f>
        <v/>
      </c>
      <c r="W53" s="6" t="str">
        <f>IF(Tableau1[[#This Row],[Niveau]]&gt;0,CONCATENATE("&lt;span class=""apprentissage""&gt;Apprentissage : &lt;span&gt;",Tableau1[[#This Row],[Caractéristique]], " ",Tableau1[[#This Row],[Apprentissage]],"&lt;/span&gt;&lt;/span&gt;"),"")</f>
        <v>&lt;span class="apprentissage"&gt;Apprentissage : &lt;span&gt;Vivacité 10&lt;/span&gt;&lt;/span&gt;</v>
      </c>
      <c r="X53" s="6" t="s">
        <v>67</v>
      </c>
      <c r="Y53" s="6" t="str">
        <f>CONCATENATE("&lt;p&gt;Exécution : &lt;span&gt;", IF(Tableau1[[#This Row],[Exécution]]&gt;0,Tableau1[[#This Row],[Exécution]],"-"), "&lt;/span&gt;&lt;/p&gt;")</f>
        <v>&lt;p&gt;Exécution : &lt;span&gt;5&lt;/span&gt;&lt;/p&gt;</v>
      </c>
      <c r="Z53" s="6" t="str">
        <f>CONCATENATE("&lt;p&gt;Souffle : &lt;span class=""jauge""&gt;", IF(Tableau1[[#This Row],[Souffle]]&gt;0,Tableau1[[#This Row],[Souffle]],"-"), "&lt;/span&gt;&lt;/p&gt;")</f>
        <v>&lt;p&gt;Souffle : &lt;span class="jauge"&gt;-&lt;/span&gt;&lt;/p&gt;</v>
      </c>
      <c r="AA53" s="6" t="str">
        <f>CONCATENATE("&lt;p&gt;Concentration : &lt;span class=""jauge""&gt;",IF(Tableau1[[#This Row],[Concentration]]&gt;0,Tableau1[[#This Row],[Concentration]],"-"), "&lt;/span&gt;&lt;/p&gt;")</f>
        <v>&lt;p&gt;Concentration : &lt;span class="jauge"&gt;-&lt;/span&gt;&lt;/p&gt;</v>
      </c>
      <c r="AB53" s="6" t="str">
        <f>IF(Tableau1[[#This Row],[Adrénaline]]&gt;0,CONCATENATE("&lt;p&gt;Adrénaline : &lt;span class=""jauge""&gt;", Tableau1[[#This Row],[Adrénaline]], "&lt;/span&gt;&lt;/p&gt;"),"")</f>
        <v/>
      </c>
      <c r="AC53" s="6" t="s">
        <v>50</v>
      </c>
      <c r="AD53" s="6" t="str">
        <f>CONCATENATE("&lt;div class=""effets""&gt;",Tableau1[[#This Row],[Effets]],"&lt;/div&gt;")</f>
        <v>&lt;div class="effets"&gt;Quand il se bat avec ses points le personnage inflige 1D8 dégâts et choisit entre la &lt;span class="stat"&gt;Vivacité&lt;/span&gt;, l'&lt;span class="stat"&gt;Adresse&lt;/span&gt; et la &lt;span class="stat"&gt;Vigueur&lt;/span&gt; comme caractéristique d'attaque. Selon la caractéristique choisie, l'attaque est considérée comme étant associé au profil rapide, précis ou puissant.&lt;/div&gt;</v>
      </c>
      <c r="AE53" s="6" t="s">
        <v>64</v>
      </c>
      <c r="AF53" s="6" t="str">
        <f>CONCATENATE(Tableau1[[#This Row],[HTML_prefix]],Tableau1[[#This Row],[HTML_nom]],Tableau1[[#This Row],[HTML_specs_prefix]],Tableau1[[#This Row],[HTML_passif]],Tableau1[[#This Row],[HTML_profil]],Tableau1[[#This Row],[HTML_innée]],Tableau1[[#This Row],[HTML_apprentissage]],Tableau1[[#This Row],[HTML_specs_col]],Tableau1[[#This Row],[HTML_Execution]],Tableau1[[#This Row],[HTML_Souffle]],Tableau1[[#This Row],[HTML_Concentration]],Tableau1[[#This Row],[HTML_Adrénaline]],Tableau1[[#This Row],[HTML_specs_suffix]],Tableau1[[#This Row],[HTML_effets]],Tableau1[[#This Row],[HTML_suffix]])</f>
        <v>&lt;div class="comp"&gt;&lt;h4 class="nom"&gt;Combat à mains nues&lt;/h4&gt;&lt;table class="spec"&gt;&lt;tr&gt;&lt;td class="left"&gt;&lt;span class="apprentissage"&gt;Apprentissage : &lt;span&gt;Vivacité 10&lt;/span&gt;&lt;/span&gt;&lt;/td&gt;&lt;td class="right"&gt;&lt;p&gt;Exécution : &lt;span&gt;5&lt;/span&gt;&lt;/p&gt;&lt;p&gt;Souffle : &lt;span class="jauge"&gt;-&lt;/span&gt;&lt;/p&gt;&lt;p&gt;Concentration : &lt;span class="jauge"&gt;-&lt;/span&gt;&lt;/p&gt;&lt;/td&gt;&lt;/tr&gt;&lt;/table class=""spec""&gt;&lt;div class="effets"&gt;Quand il se bat avec ses points le personnage inflige 1D8 dégâts et choisit entre la &lt;span class="stat"&gt;Vivacité&lt;/span&gt;, l'&lt;span class="stat"&gt;Adresse&lt;/span&gt; et la &lt;span class="stat"&gt;Vigueur&lt;/span&gt; comme caractéristique d'attaque. Selon la caractéristique choisie, l'attaque est considérée comme étant associé au profil rapide, précis ou puissant.&lt;/div&gt;&lt;/div&gt;</v>
      </c>
      <c r="AG53" s="8" t="str">
        <f>IF(ISBLANK(Tableau1[[#This Row],[Nom]]),"",IF(B53&lt;&gt;B52,CONCATENATE("&lt;/div&gt;&lt;div class=""voie ",Tableau1[[#This Row],[Caractéristique]],"""&gt;&lt;h3&gt;",Tableau1[[#This Row],[Voie]],"&lt;/h3&gt;",Tableau1[[#This Row],[HTML_ligne]]),Tableau1[[#This Row],[HTML_ligne]]))</f>
        <v>&lt;/div&gt;&lt;div class="voie Vivacité"&gt;&lt;h3&gt;Arts martiaux&lt;/h3&gt;&lt;div class="comp"&gt;&lt;h4 class="nom"&gt;Combat à mains nues&lt;/h4&gt;&lt;table class="spec"&gt;&lt;tr&gt;&lt;td class="left"&gt;&lt;span class="apprentissage"&gt;Apprentissage : &lt;span&gt;Vivacité 10&lt;/span&gt;&lt;/span&gt;&lt;/td&gt;&lt;td class="right"&gt;&lt;p&gt;Exécution : &lt;span&gt;5&lt;/span&gt;&lt;/p&gt;&lt;p&gt;Souffle : &lt;span class="jauge"&gt;-&lt;/span&gt;&lt;/p&gt;&lt;p&gt;Concentration : &lt;span class="jauge"&gt;-&lt;/span&gt;&lt;/p&gt;&lt;/td&gt;&lt;/tr&gt;&lt;/table class=""spec""&gt;&lt;div class="effets"&gt;Quand il se bat avec ses points le personnage inflige 1D8 dégâts et choisit entre la &lt;span class="stat"&gt;Vivacité&lt;/span&gt;, l'&lt;span class="stat"&gt;Adresse&lt;/span&gt; et la &lt;span class="stat"&gt;Vigueur&lt;/span&gt; comme caractéristique d'attaque. Selon la caractéristique choisie, l'attaque est considérée comme étant associé au profil rapide, précis ou puissant.&lt;/div&gt;&lt;/div&gt;</v>
      </c>
    </row>
    <row r="54" spans="1:33" ht="30" x14ac:dyDescent="0.25">
      <c r="B54" s="3" t="s">
        <v>162</v>
      </c>
      <c r="C54" s="10">
        <v>2</v>
      </c>
      <c r="D54" s="3" t="s">
        <v>164</v>
      </c>
      <c r="E54" s="4">
        <f>IFERROR(VLOOKUP(Tableau1[[#This Row],[Niveau]],Tableau2[],2,FALSE),"")</f>
        <v>15</v>
      </c>
      <c r="F54" s="3" t="s">
        <v>59</v>
      </c>
      <c r="K54" s="10" t="b">
        <v>1</v>
      </c>
      <c r="N54" s="4" t="b">
        <f>IF(Tableau1[[#This Row],[Niveau]]=0,TRUE,FALSE)</f>
        <v>0</v>
      </c>
      <c r="O54" s="5" t="s">
        <v>167</v>
      </c>
      <c r="P54" s="3"/>
      <c r="Q54" s="6" t="s">
        <v>65</v>
      </c>
      <c r="R54" s="6" t="str">
        <f>CONCATENATE("&lt;h4 class=""nom""&gt;",Tableau1[[#This Row],[Nom]],"&lt;/h4&gt;")</f>
        <v>&lt;h4 class="nom"&gt;Mains puissantes&lt;/h4&gt;</v>
      </c>
      <c r="S54" s="6" t="s">
        <v>66</v>
      </c>
      <c r="T54" s="6" t="str">
        <f>IF(Tableau1[[#This Row],[Passif ?]],"&lt;span class=""passive""&gt;Action passive&lt;/span&gt;","")</f>
        <v>&lt;span class="passive"&gt;Action passive&lt;/span&gt;</v>
      </c>
      <c r="U54" s="6" t="str">
        <f>IF(ISBLANK(Tableau1[[#This Row],[Profil]]),"",CONCATENATE("&lt;span class=""profil""&gt;Profil ",Tableau1[[#This Row],[Profil]],"&lt;/span&gt;"))</f>
        <v/>
      </c>
      <c r="V54" s="6" t="str">
        <f>IF(Tableau1[[#This Row],[Innée ?]],"&lt;span class=""innee""&gt;Action innée&lt;/span&gt;","")</f>
        <v/>
      </c>
      <c r="W54" s="6" t="str">
        <f>IF(Tableau1[[#This Row],[Niveau]]&gt;0,CONCATENATE("&lt;span class=""apprentissage""&gt;Apprentissage : &lt;span&gt;",Tableau1[[#This Row],[Caractéristique]], " ",Tableau1[[#This Row],[Apprentissage]],"&lt;/span&gt;&lt;/span&gt;"),"")</f>
        <v>&lt;span class="apprentissage"&gt;Apprentissage : &lt;span&gt;Vigueur 15&lt;/span&gt;&lt;/span&gt;</v>
      </c>
      <c r="X54" s="6" t="s">
        <v>67</v>
      </c>
      <c r="Y54" s="6" t="str">
        <f>CONCATENATE("&lt;p&gt;Exécution : &lt;span&gt;", IF(Tableau1[[#This Row],[Exécution]]&gt;0,Tableau1[[#This Row],[Exécution]],"-"), "&lt;/span&gt;&lt;/p&gt;")</f>
        <v>&lt;p&gt;Exécution : &lt;span&gt;-&lt;/span&gt;&lt;/p&gt;</v>
      </c>
      <c r="Z54" s="6" t="str">
        <f>CONCATENATE("&lt;p&gt;Souffle : &lt;span class=""jauge""&gt;", IF(Tableau1[[#This Row],[Souffle]]&gt;0,Tableau1[[#This Row],[Souffle]],"-"), "&lt;/span&gt;&lt;/p&gt;")</f>
        <v>&lt;p&gt;Souffle : &lt;span class="jauge"&gt;-&lt;/span&gt;&lt;/p&gt;</v>
      </c>
      <c r="AA54" s="6" t="str">
        <f>CONCATENATE("&lt;p&gt;Concentration : &lt;span class=""jauge""&gt;",IF(Tableau1[[#This Row],[Concentration]]&gt;0,Tableau1[[#This Row],[Concentration]],"-"), "&lt;/span&gt;&lt;/p&gt;")</f>
        <v>&lt;p&gt;Concentration : &lt;span class="jauge"&gt;-&lt;/span&gt;&lt;/p&gt;</v>
      </c>
      <c r="AB54" s="6" t="str">
        <f>IF(Tableau1[[#This Row],[Adrénaline]]&gt;0,CONCATENATE("&lt;p&gt;Adrénaline : &lt;span class=""jauge""&gt;", Tableau1[[#This Row],[Adrénaline]], "&lt;/span&gt;&lt;/p&gt;"),"")</f>
        <v/>
      </c>
      <c r="AC54" s="6" t="s">
        <v>50</v>
      </c>
      <c r="AD54" s="6" t="str">
        <f>CONCATENATE("&lt;div class=""effets""&gt;",Tableau1[[#This Row],[Effets]],"&lt;/div&gt;")</f>
        <v>&lt;div class="effets"&gt;Les actions de combat de la voie des arts martiaux qui sont basées sur la &lt;span class="stat"&gt;Vigueur&lt;/span&gt; ont leurs dégâts augmentés du quart de la &lt;span class="stat"&gt;Vigueur&lt;/span&gt;.&lt;/div&gt;</v>
      </c>
      <c r="AE54" s="6" t="s">
        <v>64</v>
      </c>
      <c r="AF54" s="6" t="str">
        <f>CONCATENATE(Tableau1[[#This Row],[HTML_prefix]],Tableau1[[#This Row],[HTML_nom]],Tableau1[[#This Row],[HTML_specs_prefix]],Tableau1[[#This Row],[HTML_passif]],Tableau1[[#This Row],[HTML_profil]],Tableau1[[#This Row],[HTML_innée]],Tableau1[[#This Row],[HTML_apprentissage]],Tableau1[[#This Row],[HTML_specs_col]],Tableau1[[#This Row],[HTML_Execution]],Tableau1[[#This Row],[HTML_Souffle]],Tableau1[[#This Row],[HTML_Concentration]],Tableau1[[#This Row],[HTML_Adrénaline]],Tableau1[[#This Row],[HTML_specs_suffix]],Tableau1[[#This Row],[HTML_effets]],Tableau1[[#This Row],[HTML_suffix]])</f>
        <v>&lt;div class="comp"&gt;&lt;h4 class="nom"&gt;Mains puissantes&lt;/h4&gt;&lt;table class="spec"&gt;&lt;tr&gt;&lt;td class="left"&gt;&lt;span class="passive"&gt;Action passive&lt;/span&gt;&lt;span class="apprentissage"&gt;Apprentissage : &lt;span&gt;Vigueur 15&lt;/span&gt;&lt;/span&gt;&lt;/td&gt;&lt;td class="right"&gt;&lt;p&gt;Exécution : &lt;span&gt;-&lt;/span&gt;&lt;/p&gt;&lt;p&gt;Souffle : &lt;span class="jauge"&gt;-&lt;/span&gt;&lt;/p&gt;&lt;p&gt;Concentration : &lt;span class="jauge"&gt;-&lt;/span&gt;&lt;/p&gt;&lt;/td&gt;&lt;/tr&gt;&lt;/table class=""spec""&gt;&lt;div class="effets"&gt;Les actions de combat de la voie des arts martiaux qui sont basées sur la &lt;span class="stat"&gt;Vigueur&lt;/span&gt; ont leurs dégâts augmentés du quart de la &lt;span class="stat"&gt;Vigueur&lt;/span&gt;.&lt;/div&gt;&lt;/div&gt;</v>
      </c>
      <c r="AG54" s="8" t="str">
        <f>IF(ISBLANK(Tableau1[[#This Row],[Nom]]),"",IF(B54&lt;&gt;B53,CONCATENATE("&lt;/div&gt;&lt;div class=""voie ",Tableau1[[#This Row],[Caractéristique]],"""&gt;&lt;h3&gt;",Tableau1[[#This Row],[Voie]],"&lt;/h3&gt;",Tableau1[[#This Row],[HTML_ligne]]),Tableau1[[#This Row],[HTML_ligne]]))</f>
        <v>&lt;div class="comp"&gt;&lt;h4 class="nom"&gt;Mains puissantes&lt;/h4&gt;&lt;table class="spec"&gt;&lt;tr&gt;&lt;td class="left"&gt;&lt;span class="passive"&gt;Action passive&lt;/span&gt;&lt;span class="apprentissage"&gt;Apprentissage : &lt;span&gt;Vigueur 15&lt;/span&gt;&lt;/span&gt;&lt;/td&gt;&lt;td class="right"&gt;&lt;p&gt;Exécution : &lt;span&gt;-&lt;/span&gt;&lt;/p&gt;&lt;p&gt;Souffle : &lt;span class="jauge"&gt;-&lt;/span&gt;&lt;/p&gt;&lt;p&gt;Concentration : &lt;span class="jauge"&gt;-&lt;/span&gt;&lt;/p&gt;&lt;/td&gt;&lt;/tr&gt;&lt;/table class=""spec""&gt;&lt;div class="effets"&gt;Les actions de combat de la voie des arts martiaux qui sont basées sur la &lt;span class="stat"&gt;Vigueur&lt;/span&gt; ont leurs dégâts augmentés du quart de la &lt;span class="stat"&gt;Vigueur&lt;/span&gt;.&lt;/div&gt;&lt;/div&gt;</v>
      </c>
    </row>
    <row r="55" spans="1:33" ht="30" x14ac:dyDescent="0.25">
      <c r="B55" s="3" t="s">
        <v>162</v>
      </c>
      <c r="C55" s="10">
        <v>2</v>
      </c>
      <c r="D55" s="3" t="s">
        <v>165</v>
      </c>
      <c r="E55" s="4">
        <f>IFERROR(VLOOKUP(Tableau1[[#This Row],[Niveau]],Tableau2[],2,FALSE),"")</f>
        <v>15</v>
      </c>
      <c r="F55" s="3" t="s">
        <v>58</v>
      </c>
      <c r="K55" s="10" t="b">
        <v>1</v>
      </c>
      <c r="N55" s="4" t="b">
        <f>IF(Tableau1[[#This Row],[Niveau]]=0,TRUE,FALSE)</f>
        <v>0</v>
      </c>
      <c r="O55" s="5" t="s">
        <v>185</v>
      </c>
      <c r="P55" s="3"/>
      <c r="Q55" s="6" t="s">
        <v>65</v>
      </c>
      <c r="R55" s="6" t="str">
        <f>CONCATENATE("&lt;h4 class=""nom""&gt;",Tableau1[[#This Row],[Nom]],"&lt;/h4&gt;")</f>
        <v>&lt;h4 class="nom"&gt;Coups déstabilisants&lt;/h4&gt;</v>
      </c>
      <c r="S55" s="6" t="s">
        <v>66</v>
      </c>
      <c r="T55" s="6" t="str">
        <f>IF(Tableau1[[#This Row],[Passif ?]],"&lt;span class=""passive""&gt;Action passive&lt;/span&gt;","")</f>
        <v>&lt;span class="passive"&gt;Action passive&lt;/span&gt;</v>
      </c>
      <c r="U55" s="6" t="str">
        <f>IF(ISBLANK(Tableau1[[#This Row],[Profil]]),"",CONCATENATE("&lt;span class=""profil""&gt;Profil ",Tableau1[[#This Row],[Profil]],"&lt;/span&gt;"))</f>
        <v/>
      </c>
      <c r="V55" s="6" t="str">
        <f>IF(Tableau1[[#This Row],[Innée ?]],"&lt;span class=""innee""&gt;Action innée&lt;/span&gt;","")</f>
        <v/>
      </c>
      <c r="W55" s="6" t="str">
        <f>IF(Tableau1[[#This Row],[Niveau]]&gt;0,CONCATENATE("&lt;span class=""apprentissage""&gt;Apprentissage : &lt;span&gt;",Tableau1[[#This Row],[Caractéristique]], " ",Tableau1[[#This Row],[Apprentissage]],"&lt;/span&gt;&lt;/span&gt;"),"")</f>
        <v>&lt;span class="apprentissage"&gt;Apprentissage : &lt;span&gt;Adresse 15&lt;/span&gt;&lt;/span&gt;</v>
      </c>
      <c r="X55" s="6" t="s">
        <v>67</v>
      </c>
      <c r="Y55" s="6" t="str">
        <f>CONCATENATE("&lt;p&gt;Exécution : &lt;span&gt;", IF(Tableau1[[#This Row],[Exécution]]&gt;0,Tableau1[[#This Row],[Exécution]],"-"), "&lt;/span&gt;&lt;/p&gt;")</f>
        <v>&lt;p&gt;Exécution : &lt;span&gt;-&lt;/span&gt;&lt;/p&gt;</v>
      </c>
      <c r="Z55" s="6" t="str">
        <f>CONCATENATE("&lt;p&gt;Souffle : &lt;span class=""jauge""&gt;", IF(Tableau1[[#This Row],[Souffle]]&gt;0,Tableau1[[#This Row],[Souffle]],"-"), "&lt;/span&gt;&lt;/p&gt;")</f>
        <v>&lt;p&gt;Souffle : &lt;span class="jauge"&gt;-&lt;/span&gt;&lt;/p&gt;</v>
      </c>
      <c r="AA55" s="6" t="str">
        <f>CONCATENATE("&lt;p&gt;Concentration : &lt;span class=""jauge""&gt;",IF(Tableau1[[#This Row],[Concentration]]&gt;0,Tableau1[[#This Row],[Concentration]],"-"), "&lt;/span&gt;&lt;/p&gt;")</f>
        <v>&lt;p&gt;Concentration : &lt;span class="jauge"&gt;-&lt;/span&gt;&lt;/p&gt;</v>
      </c>
      <c r="AB55" s="6" t="str">
        <f>IF(Tableau1[[#This Row],[Adrénaline]]&gt;0,CONCATENATE("&lt;p&gt;Adrénaline : &lt;span class=""jauge""&gt;", Tableau1[[#This Row],[Adrénaline]], "&lt;/span&gt;&lt;/p&gt;"),"")</f>
        <v/>
      </c>
      <c r="AC55" s="6" t="s">
        <v>50</v>
      </c>
      <c r="AD55" s="6" t="str">
        <f>CONCATENATE("&lt;div class=""effets""&gt;",Tableau1[[#This Row],[Effets]],"&lt;/div&gt;")</f>
        <v>&lt;div class="effets"&gt;Avec les actions de combat de la voie des arts martiaux basées sur l'&lt;span class="stat"&gt;Adresse&lt;/span&gt; et en cas d'attaque qui touche, le personnage peut déplacer son adversaire (de taille équivalente) d'1m dans n'importe quelle direction.&lt;/div&gt;</v>
      </c>
      <c r="AE55" s="6" t="s">
        <v>64</v>
      </c>
      <c r="AF55" s="6" t="str">
        <f>CONCATENATE(Tableau1[[#This Row],[HTML_prefix]],Tableau1[[#This Row],[HTML_nom]],Tableau1[[#This Row],[HTML_specs_prefix]],Tableau1[[#This Row],[HTML_passif]],Tableau1[[#This Row],[HTML_profil]],Tableau1[[#This Row],[HTML_innée]],Tableau1[[#This Row],[HTML_apprentissage]],Tableau1[[#This Row],[HTML_specs_col]],Tableau1[[#This Row],[HTML_Execution]],Tableau1[[#This Row],[HTML_Souffle]],Tableau1[[#This Row],[HTML_Concentration]],Tableau1[[#This Row],[HTML_Adrénaline]],Tableau1[[#This Row],[HTML_specs_suffix]],Tableau1[[#This Row],[HTML_effets]],Tableau1[[#This Row],[HTML_suffix]])</f>
        <v>&lt;div class="comp"&gt;&lt;h4 class="nom"&gt;Coups déstabilisants&lt;/h4&gt;&lt;table class="spec"&gt;&lt;tr&gt;&lt;td class="left"&gt;&lt;span class="passive"&gt;Action passive&lt;/span&gt;&lt;span class="apprentissage"&gt;Apprentissage : &lt;span&gt;Adresse 15&lt;/span&gt;&lt;/span&gt;&lt;/td&gt;&lt;td class="right"&gt;&lt;p&gt;Exécution : &lt;span&gt;-&lt;/span&gt;&lt;/p&gt;&lt;p&gt;Souffle : &lt;span class="jauge"&gt;-&lt;/span&gt;&lt;/p&gt;&lt;p&gt;Concentration : &lt;span class="jauge"&gt;-&lt;/span&gt;&lt;/p&gt;&lt;/td&gt;&lt;/tr&gt;&lt;/table class=""spec""&gt;&lt;div class="effets"&gt;Avec les actions de combat de la voie des arts martiaux basées sur l'&lt;span class="stat"&gt;Adresse&lt;/span&gt; et en cas d'attaque qui touche, le personnage peut déplacer son adversaire (de taille équivalente) d'1m dans n'importe quelle direction.&lt;/div&gt;&lt;/div&gt;</v>
      </c>
      <c r="AG55" s="8" t="str">
        <f>IF(ISBLANK(Tableau1[[#This Row],[Nom]]),"",IF(B55&lt;&gt;B54,CONCATENATE("&lt;/div&gt;&lt;div class=""voie ",Tableau1[[#This Row],[Caractéristique]],"""&gt;&lt;h3&gt;",Tableau1[[#This Row],[Voie]],"&lt;/h3&gt;",Tableau1[[#This Row],[HTML_ligne]]),Tableau1[[#This Row],[HTML_ligne]]))</f>
        <v>&lt;div class="comp"&gt;&lt;h4 class="nom"&gt;Coups déstabilisants&lt;/h4&gt;&lt;table class="spec"&gt;&lt;tr&gt;&lt;td class="left"&gt;&lt;span class="passive"&gt;Action passive&lt;/span&gt;&lt;span class="apprentissage"&gt;Apprentissage : &lt;span&gt;Adresse 15&lt;/span&gt;&lt;/span&gt;&lt;/td&gt;&lt;td class="right"&gt;&lt;p&gt;Exécution : &lt;span&gt;-&lt;/span&gt;&lt;/p&gt;&lt;p&gt;Souffle : &lt;span class="jauge"&gt;-&lt;/span&gt;&lt;/p&gt;&lt;p&gt;Concentration : &lt;span class="jauge"&gt;-&lt;/span&gt;&lt;/p&gt;&lt;/td&gt;&lt;/tr&gt;&lt;/table class=""spec""&gt;&lt;div class="effets"&gt;Avec les actions de combat de la voie des arts martiaux basées sur l'&lt;span class="stat"&gt;Adresse&lt;/span&gt; et en cas d'attaque qui touche, le personnage peut déplacer son adversaire (de taille équivalente) d'1m dans n'importe quelle direction.&lt;/div&gt;&lt;/div&gt;</v>
      </c>
    </row>
    <row r="56" spans="1:33" ht="30" x14ac:dyDescent="0.25">
      <c r="B56" s="3" t="s">
        <v>162</v>
      </c>
      <c r="C56" s="10">
        <v>2</v>
      </c>
      <c r="D56" s="3" t="s">
        <v>166</v>
      </c>
      <c r="E56" s="4">
        <f>IFERROR(VLOOKUP(Tableau1[[#This Row],[Niveau]],Tableau2[],2,FALSE),"")</f>
        <v>15</v>
      </c>
      <c r="F56" s="3" t="s">
        <v>57</v>
      </c>
      <c r="K56" s="10" t="b">
        <v>1</v>
      </c>
      <c r="N56" s="4" t="b">
        <f>IF(Tableau1[[#This Row],[Niveau]]=0,TRUE,FALSE)</f>
        <v>0</v>
      </c>
      <c r="O56" s="5" t="s">
        <v>186</v>
      </c>
      <c r="Q56" s="6" t="s">
        <v>65</v>
      </c>
      <c r="R56" s="6" t="str">
        <f>CONCATENATE("&lt;h4 class=""nom""&gt;",Tableau1[[#This Row],[Nom]],"&lt;/h4&gt;")</f>
        <v>&lt;h4 class="nom"&gt;Déluge de coup&lt;/h4&gt;</v>
      </c>
      <c r="S56" s="6" t="s">
        <v>66</v>
      </c>
      <c r="T56" s="6" t="str">
        <f>IF(Tableau1[[#This Row],[Passif ?]],"&lt;span class=""passive""&gt;Action passive&lt;/span&gt;","")</f>
        <v>&lt;span class="passive"&gt;Action passive&lt;/span&gt;</v>
      </c>
      <c r="U56" s="6" t="str">
        <f>IF(ISBLANK(Tableau1[[#This Row],[Profil]]),"",CONCATENATE("&lt;span class=""profil""&gt;Profil ",Tableau1[[#This Row],[Profil]],"&lt;/span&gt;"))</f>
        <v/>
      </c>
      <c r="V56" s="6" t="str">
        <f>IF(Tableau1[[#This Row],[Innée ?]],"&lt;span class=""innee""&gt;Action innée&lt;/span&gt;","")</f>
        <v/>
      </c>
      <c r="W56" s="6" t="str">
        <f>IF(Tableau1[[#This Row],[Niveau]]&gt;0,CONCATENATE("&lt;span class=""apprentissage""&gt;Apprentissage : &lt;span&gt;",Tableau1[[#This Row],[Caractéristique]], " ",Tableau1[[#This Row],[Apprentissage]],"&lt;/span&gt;&lt;/span&gt;"),"")</f>
        <v>&lt;span class="apprentissage"&gt;Apprentissage : &lt;span&gt;Vivacité 15&lt;/span&gt;&lt;/span&gt;</v>
      </c>
      <c r="X56" s="6" t="s">
        <v>67</v>
      </c>
      <c r="Y56" s="6" t="str">
        <f>CONCATENATE("&lt;p&gt;Exécution : &lt;span&gt;", IF(Tableau1[[#This Row],[Exécution]]&gt;0,Tableau1[[#This Row],[Exécution]],"-"), "&lt;/span&gt;&lt;/p&gt;")</f>
        <v>&lt;p&gt;Exécution : &lt;span&gt;-&lt;/span&gt;&lt;/p&gt;</v>
      </c>
      <c r="Z56" s="6" t="str">
        <f>CONCATENATE("&lt;p&gt;Souffle : &lt;span class=""jauge""&gt;", IF(Tableau1[[#This Row],[Souffle]]&gt;0,Tableau1[[#This Row],[Souffle]],"-"), "&lt;/span&gt;&lt;/p&gt;")</f>
        <v>&lt;p&gt;Souffle : &lt;span class="jauge"&gt;-&lt;/span&gt;&lt;/p&gt;</v>
      </c>
      <c r="AA56" s="6" t="str">
        <f>CONCATENATE("&lt;p&gt;Concentration : &lt;span class=""jauge""&gt;",IF(Tableau1[[#This Row],[Concentration]]&gt;0,Tableau1[[#This Row],[Concentration]],"-"), "&lt;/span&gt;&lt;/p&gt;")</f>
        <v>&lt;p&gt;Concentration : &lt;span class="jauge"&gt;-&lt;/span&gt;&lt;/p&gt;</v>
      </c>
      <c r="AB56" s="6" t="str">
        <f>IF(Tableau1[[#This Row],[Adrénaline]]&gt;0,CONCATENATE("&lt;p&gt;Adrénaline : &lt;span class=""jauge""&gt;", Tableau1[[#This Row],[Adrénaline]], "&lt;/span&gt;&lt;/p&gt;"),"")</f>
        <v/>
      </c>
      <c r="AC56" s="6" t="s">
        <v>50</v>
      </c>
      <c r="AD56" s="6" t="str">
        <f>CONCATENATE("&lt;div class=""effets""&gt;",Tableau1[[#This Row],[Effets]],"&lt;/div&gt;")</f>
        <v>&lt;div class="effets"&gt;Les actions de combat de la voie des arts martiaux qui sont basées sur l'&lt;span class="stat"&gt;Vivacité&lt;/span&gt; sont particulièrement complexes à contrer. Le défenseur subit un malus de -10 à ses esquives et parades.&lt;/div&gt;</v>
      </c>
      <c r="AE56" s="6" t="s">
        <v>64</v>
      </c>
      <c r="AF56" s="6" t="str">
        <f>CONCATENATE(Tableau1[[#This Row],[HTML_prefix]],Tableau1[[#This Row],[HTML_nom]],Tableau1[[#This Row],[HTML_specs_prefix]],Tableau1[[#This Row],[HTML_passif]],Tableau1[[#This Row],[HTML_profil]],Tableau1[[#This Row],[HTML_innée]],Tableau1[[#This Row],[HTML_apprentissage]],Tableau1[[#This Row],[HTML_specs_col]],Tableau1[[#This Row],[HTML_Execution]],Tableau1[[#This Row],[HTML_Souffle]],Tableau1[[#This Row],[HTML_Concentration]],Tableau1[[#This Row],[HTML_Adrénaline]],Tableau1[[#This Row],[HTML_specs_suffix]],Tableau1[[#This Row],[HTML_effets]],Tableau1[[#This Row],[HTML_suffix]])</f>
        <v>&lt;div class="comp"&gt;&lt;h4 class="nom"&gt;Déluge de coup&lt;/h4&gt;&lt;table class="spec"&gt;&lt;tr&gt;&lt;td class="left"&gt;&lt;span class="passive"&gt;Action passive&lt;/span&gt;&lt;span class="apprentissage"&gt;Apprentissage : &lt;span&gt;Vivacité 15&lt;/span&gt;&lt;/span&gt;&lt;/td&gt;&lt;td class="right"&gt;&lt;p&gt;Exécution : &lt;span&gt;-&lt;/span&gt;&lt;/p&gt;&lt;p&gt;Souffle : &lt;span class="jauge"&gt;-&lt;/span&gt;&lt;/p&gt;&lt;p&gt;Concentration : &lt;span class="jauge"&gt;-&lt;/span&gt;&lt;/p&gt;&lt;/td&gt;&lt;/tr&gt;&lt;/table class=""spec""&gt;&lt;div class="effets"&gt;Les actions de combat de la voie des arts martiaux qui sont basées sur l'&lt;span class="stat"&gt;Vivacité&lt;/span&gt; sont particulièrement complexes à contrer. Le défenseur subit un malus de -10 à ses esquives et parades.&lt;/div&gt;&lt;/div&gt;</v>
      </c>
      <c r="AG56" s="8" t="str">
        <f>IF(ISBLANK(Tableau1[[#This Row],[Nom]]),"",IF(B56&lt;&gt;B55,CONCATENATE("&lt;/div&gt;&lt;div class=""voie ",Tableau1[[#This Row],[Caractéristique]],"""&gt;&lt;h3&gt;",Tableau1[[#This Row],[Voie]],"&lt;/h3&gt;",Tableau1[[#This Row],[HTML_ligne]]),Tableau1[[#This Row],[HTML_ligne]]))</f>
        <v>&lt;div class="comp"&gt;&lt;h4 class="nom"&gt;Déluge de coup&lt;/h4&gt;&lt;table class="spec"&gt;&lt;tr&gt;&lt;td class="left"&gt;&lt;span class="passive"&gt;Action passive&lt;/span&gt;&lt;span class="apprentissage"&gt;Apprentissage : &lt;span&gt;Vivacité 15&lt;/span&gt;&lt;/span&gt;&lt;/td&gt;&lt;td class="right"&gt;&lt;p&gt;Exécution : &lt;span&gt;-&lt;/span&gt;&lt;/p&gt;&lt;p&gt;Souffle : &lt;span class="jauge"&gt;-&lt;/span&gt;&lt;/p&gt;&lt;p&gt;Concentration : &lt;span class="jauge"&gt;-&lt;/span&gt;&lt;/p&gt;&lt;/td&gt;&lt;/tr&gt;&lt;/table class=""spec""&gt;&lt;div class="effets"&gt;Les actions de combat de la voie des arts martiaux qui sont basées sur l'&lt;span class="stat"&gt;Vivacité&lt;/span&gt; sont particulièrement complexes à contrer. Le défenseur subit un malus de -10 à ses esquives et parades.&lt;/div&gt;&lt;/div&gt;</v>
      </c>
    </row>
    <row r="57" spans="1:33" x14ac:dyDescent="0.25">
      <c r="B57" s="3" t="s">
        <v>86</v>
      </c>
      <c r="C57" s="10">
        <v>1</v>
      </c>
      <c r="D57" s="3" t="s">
        <v>86</v>
      </c>
      <c r="E57" s="4">
        <f>IFERROR(VLOOKUP(Tableau1[[#This Row],[Niveau]],Tableau2[],2,FALSE),"")</f>
        <v>10</v>
      </c>
      <c r="F57" s="3" t="s">
        <v>59</v>
      </c>
      <c r="G57" s="10">
        <v>6</v>
      </c>
      <c r="H57" s="10">
        <v>2</v>
      </c>
      <c r="L57" s="10" t="b">
        <v>1</v>
      </c>
      <c r="M57" s="25" t="s">
        <v>36</v>
      </c>
      <c r="N57" s="4" t="b">
        <f>IF(Tableau1[[#This Row],[Niveau]]=0,TRUE,FALSE)</f>
        <v>0</v>
      </c>
      <c r="O57" s="5" t="s">
        <v>87</v>
      </c>
      <c r="P57" s="3"/>
      <c r="Q57" s="6" t="s">
        <v>65</v>
      </c>
      <c r="R57" s="6" t="str">
        <f>CONCATENATE("&lt;h4 class=""nom""&gt;",Tableau1[[#This Row],[Nom]],"&lt;/h4&gt;")</f>
        <v>&lt;h4 class="nom"&gt;Charge&lt;/h4&gt;</v>
      </c>
      <c r="S57" s="6" t="s">
        <v>66</v>
      </c>
      <c r="T57" s="6" t="str">
        <f>IF(Tableau1[[#This Row],[Passif ?]],"&lt;span class=""passive""&gt;Action passive&lt;/span&gt;","")</f>
        <v/>
      </c>
      <c r="U57" s="6" t="str">
        <f>IF(ISBLANK(Tableau1[[#This Row],[Profil]]),"",CONCATENATE("&lt;span class=""profil""&gt;Profil ",Tableau1[[#This Row],[Profil]],"&lt;/span&gt;"))</f>
        <v>&lt;span class="profil"&gt;Profil Puissant&lt;/span&gt;</v>
      </c>
      <c r="V57" s="6" t="str">
        <f>IF(Tableau1[[#This Row],[Innée ?]],"&lt;span class=""innee""&gt;Action innée&lt;/span&gt;","")</f>
        <v/>
      </c>
      <c r="W57" s="6" t="str">
        <f>IF(Tableau1[[#This Row],[Niveau]]&gt;0,CONCATENATE("&lt;span class=""apprentissage""&gt;Apprentissage : &lt;span&gt;",Tableau1[[#This Row],[Caractéristique]], " ",Tableau1[[#This Row],[Apprentissage]],"&lt;/span&gt;&lt;/span&gt;"),"")</f>
        <v>&lt;span class="apprentissage"&gt;Apprentissage : &lt;span&gt;Vigueur 10&lt;/span&gt;&lt;/span&gt;</v>
      </c>
      <c r="X57" s="6" t="s">
        <v>67</v>
      </c>
      <c r="Y57" s="6" t="str">
        <f>CONCATENATE("&lt;p&gt;Exécution : &lt;span&gt;", IF(Tableau1[[#This Row],[Exécution]]&gt;0,Tableau1[[#This Row],[Exécution]],"-"), "&lt;/span&gt;&lt;/p&gt;")</f>
        <v>&lt;p&gt;Exécution : &lt;span&gt;6&lt;/span&gt;&lt;/p&gt;</v>
      </c>
      <c r="Z57" s="6" t="str">
        <f>CONCATENATE("&lt;p&gt;Souffle : &lt;span class=""jauge""&gt;", IF(Tableau1[[#This Row],[Souffle]]&gt;0,Tableau1[[#This Row],[Souffle]],"-"), "&lt;/span&gt;&lt;/p&gt;")</f>
        <v>&lt;p&gt;Souffle : &lt;span class="jauge"&gt;2&lt;/span&gt;&lt;/p&gt;</v>
      </c>
      <c r="AA57" s="6" t="str">
        <f>CONCATENATE("&lt;p&gt;Concentration : &lt;span class=""jauge""&gt;",IF(Tableau1[[#This Row],[Concentration]]&gt;0,Tableau1[[#This Row],[Concentration]],"-"), "&lt;/span&gt;&lt;/p&gt;")</f>
        <v>&lt;p&gt;Concentration : &lt;span class="jauge"&gt;-&lt;/span&gt;&lt;/p&gt;</v>
      </c>
      <c r="AB57" s="6" t="str">
        <f>IF(Tableau1[[#This Row],[Adrénaline]]&gt;0,CONCATENATE("&lt;p&gt;Adrénaline : &lt;span class=""jauge""&gt;", Tableau1[[#This Row],[Adrénaline]], "&lt;/span&gt;&lt;/p&gt;"),"")</f>
        <v/>
      </c>
      <c r="AC57" s="6" t="s">
        <v>50</v>
      </c>
      <c r="AD57" s="6" t="str">
        <f>CONCATENATE("&lt;div class=""effets""&gt;",Tableau1[[#This Row],[Effets]],"&lt;/div&gt;")</f>
        <v>&lt;div class="effets"&gt;Après avoir réalisé un déplacement de plus de 5m qui l'amène à portée de sa cible, le personnage profite de son élan pour asséner un coup dévastateur.&lt;/div&gt;</v>
      </c>
      <c r="AE57" s="6" t="s">
        <v>64</v>
      </c>
      <c r="AF57" s="6" t="str">
        <f>CONCATENATE(Tableau1[[#This Row],[HTML_prefix]],Tableau1[[#This Row],[HTML_nom]],Tableau1[[#This Row],[HTML_specs_prefix]],Tableau1[[#This Row],[HTML_passif]],Tableau1[[#This Row],[HTML_profil]],Tableau1[[#This Row],[HTML_innée]],Tableau1[[#This Row],[HTML_apprentissage]],Tableau1[[#This Row],[HTML_specs_col]],Tableau1[[#This Row],[HTML_Execution]],Tableau1[[#This Row],[HTML_Souffle]],Tableau1[[#This Row],[HTML_Concentration]],Tableau1[[#This Row],[HTML_Adrénaline]],Tableau1[[#This Row],[HTML_specs_suffix]],Tableau1[[#This Row],[HTML_effets]],Tableau1[[#This Row],[HTML_suffix]])</f>
        <v>&lt;div class="comp"&gt;&lt;h4 class="nom"&gt;Charge&lt;/h4&gt;&lt;table class="spec"&gt;&lt;tr&gt;&lt;td class="left"&gt;&lt;span class="profil"&gt;Profil Puissant&lt;/span&gt;&lt;span class="apprentissage"&gt;Apprentissage : &lt;span&gt;Vigueur 10&lt;/span&gt;&lt;/span&gt;&lt;/td&gt;&lt;td class="right"&gt;&lt;p&gt;Exécution : &lt;span&gt;6&lt;/span&gt;&lt;/p&gt;&lt;p&gt;Souffle : &lt;span class="jauge"&gt;2&lt;/span&gt;&lt;/p&gt;&lt;p&gt;Concentration : &lt;span class="jauge"&gt;-&lt;/span&gt;&lt;/p&gt;&lt;/td&gt;&lt;/tr&gt;&lt;/table class=""spec""&gt;&lt;div class="effets"&gt;Après avoir réalisé un déplacement de plus de 5m qui l'amène à portée de sa cible, le personnage profite de son élan pour asséner un coup dévastateur.&lt;/div&gt;&lt;/div&gt;</v>
      </c>
      <c r="AG57" s="8" t="str">
        <f>IF(ISBLANK(Tableau1[[#This Row],[Nom]]),"",IF(B57&lt;&gt;B56,CONCATENATE("&lt;/div&gt;&lt;div class=""voie ",Tableau1[[#This Row],[Caractéristique]],"""&gt;&lt;h3&gt;",Tableau1[[#This Row],[Voie]],"&lt;/h3&gt;",Tableau1[[#This Row],[HTML_ligne]]),Tableau1[[#This Row],[HTML_ligne]]))</f>
        <v>&lt;/div&gt;&lt;div class="voie Vigueur"&gt;&lt;h3&gt;Charge&lt;/h3&gt;&lt;div class="comp"&gt;&lt;h4 class="nom"&gt;Charge&lt;/h4&gt;&lt;table class="spec"&gt;&lt;tr&gt;&lt;td class="left"&gt;&lt;span class="profil"&gt;Profil Puissant&lt;/span&gt;&lt;span class="apprentissage"&gt;Apprentissage : &lt;span&gt;Vigueur 10&lt;/span&gt;&lt;/span&gt;&lt;/td&gt;&lt;td class="right"&gt;&lt;p&gt;Exécution : &lt;span&gt;6&lt;/span&gt;&lt;/p&gt;&lt;p&gt;Souffle : &lt;span class="jauge"&gt;2&lt;/span&gt;&lt;/p&gt;&lt;p&gt;Concentration : &lt;span class="jauge"&gt;-&lt;/span&gt;&lt;/p&gt;&lt;/td&gt;&lt;/tr&gt;&lt;/table class=""spec""&gt;&lt;div class="effets"&gt;Après avoir réalisé un déplacement de plus de 5m qui l'amène à portée de sa cible, le personnage profite de son élan pour asséner un coup dévastateur.&lt;/div&gt;&lt;/div&gt;</v>
      </c>
    </row>
    <row r="58" spans="1:33" ht="45" x14ac:dyDescent="0.25">
      <c r="B58" s="3" t="s">
        <v>86</v>
      </c>
      <c r="C58" s="10">
        <v>2</v>
      </c>
      <c r="D58" s="3" t="s">
        <v>89</v>
      </c>
      <c r="E58" s="4">
        <f>IFERROR(VLOOKUP(Tableau1[[#This Row],[Niveau]],Tableau2[],2,FALSE),"")</f>
        <v>15</v>
      </c>
      <c r="F58" s="3" t="s">
        <v>59</v>
      </c>
      <c r="G58" s="10">
        <v>6</v>
      </c>
      <c r="H58" s="10">
        <v>2</v>
      </c>
      <c r="L58" s="10" t="b">
        <v>1</v>
      </c>
      <c r="M58" s="25" t="s">
        <v>36</v>
      </c>
      <c r="N58" s="4" t="b">
        <f>IF(Tableau1[[#This Row],[Niveau]]=0,TRUE,FALSE)</f>
        <v>0</v>
      </c>
      <c r="O58" s="5" t="s">
        <v>88</v>
      </c>
      <c r="P58" s="3"/>
      <c r="Q58" s="6" t="s">
        <v>65</v>
      </c>
      <c r="R58" s="6" t="str">
        <f>CONCATENATE("&lt;h4 class=""nom""&gt;",Tableau1[[#This Row],[Nom]],"&lt;/h4&gt;")</f>
        <v>&lt;h4 class="nom"&gt;Charge féroce&lt;/h4&gt;</v>
      </c>
      <c r="S58" s="6" t="s">
        <v>66</v>
      </c>
      <c r="T58" s="6" t="str">
        <f>IF(Tableau1[[#This Row],[Passif ?]],"&lt;span class=""passive""&gt;Action passive&lt;/span&gt;","")</f>
        <v/>
      </c>
      <c r="U58" s="6" t="str">
        <f>IF(ISBLANK(Tableau1[[#This Row],[Profil]]),"",CONCATENATE("&lt;span class=""profil""&gt;Profil ",Tableau1[[#This Row],[Profil]],"&lt;/span&gt;"))</f>
        <v>&lt;span class="profil"&gt;Profil Puissant&lt;/span&gt;</v>
      </c>
      <c r="V58" s="6" t="str">
        <f>IF(Tableau1[[#This Row],[Innée ?]],"&lt;span class=""innee""&gt;Action innée&lt;/span&gt;","")</f>
        <v/>
      </c>
      <c r="W58" s="6" t="str">
        <f>IF(Tableau1[[#This Row],[Niveau]]&gt;0,CONCATENATE("&lt;span class=""apprentissage""&gt;Apprentissage : &lt;span&gt;",Tableau1[[#This Row],[Caractéristique]], " ",Tableau1[[#This Row],[Apprentissage]],"&lt;/span&gt;&lt;/span&gt;"),"")</f>
        <v>&lt;span class="apprentissage"&gt;Apprentissage : &lt;span&gt;Vigueur 15&lt;/span&gt;&lt;/span&gt;</v>
      </c>
      <c r="X58" s="6" t="s">
        <v>67</v>
      </c>
      <c r="Y58" s="6" t="str">
        <f>CONCATENATE("&lt;p&gt;Exécution : &lt;span&gt;", IF(Tableau1[[#This Row],[Exécution]]&gt;0,Tableau1[[#This Row],[Exécution]],"-"), "&lt;/span&gt;&lt;/p&gt;")</f>
        <v>&lt;p&gt;Exécution : &lt;span&gt;6&lt;/span&gt;&lt;/p&gt;</v>
      </c>
      <c r="Z58" s="6" t="str">
        <f>CONCATENATE("&lt;p&gt;Souffle : &lt;span class=""jauge""&gt;", IF(Tableau1[[#This Row],[Souffle]]&gt;0,Tableau1[[#This Row],[Souffle]],"-"), "&lt;/span&gt;&lt;/p&gt;")</f>
        <v>&lt;p&gt;Souffle : &lt;span class="jauge"&gt;2&lt;/span&gt;&lt;/p&gt;</v>
      </c>
      <c r="AA58" s="6" t="str">
        <f>CONCATENATE("&lt;p&gt;Concentration : &lt;span class=""jauge""&gt;",IF(Tableau1[[#This Row],[Concentration]]&gt;0,Tableau1[[#This Row],[Concentration]],"-"), "&lt;/span&gt;&lt;/p&gt;")</f>
        <v>&lt;p&gt;Concentration : &lt;span class="jauge"&gt;-&lt;/span&gt;&lt;/p&gt;</v>
      </c>
      <c r="AB58" s="6" t="str">
        <f>IF(Tableau1[[#This Row],[Adrénaline]]&gt;0,CONCATENATE("&lt;p&gt;Adrénaline : &lt;span class=""jauge""&gt;", Tableau1[[#This Row],[Adrénaline]], "&lt;/span&gt;&lt;/p&gt;"),"")</f>
        <v/>
      </c>
      <c r="AC58" s="6" t="s">
        <v>50</v>
      </c>
      <c r="AD58" s="6" t="str">
        <f>CONCATENATE("&lt;div class=""effets""&gt;",Tableau1[[#This Row],[Effets]],"&lt;/div&gt;")</f>
        <v>&lt;div class="effets"&gt;Après avoir réalisé un déplacement de plus de 5m qui l'amène à portée de sa cible, le personnage engage toute son énergie dans un coup meurtrier. Celui-ci devra réussir un test de &lt;span class="stat"&gt;Vigueur&lt;/span&gt; opposé ou être déstabilisé pour 1 tour.&lt;br /&gt;Le personnage quant à lui subit des dégâts égaux au quart de sa &lt;span class="stat"&gt;Vigueur&lt;/span&gt; mais augmente les dégâts de son attaque de la moitié de sa &lt;span class="stat"&gt;Vigueur&lt;/div&gt;</v>
      </c>
      <c r="AE58" s="6" t="s">
        <v>64</v>
      </c>
      <c r="AF58" s="6" t="str">
        <f>CONCATENATE(Tableau1[[#This Row],[HTML_prefix]],Tableau1[[#This Row],[HTML_nom]],Tableau1[[#This Row],[HTML_specs_prefix]],Tableau1[[#This Row],[HTML_passif]],Tableau1[[#This Row],[HTML_profil]],Tableau1[[#This Row],[HTML_innée]],Tableau1[[#This Row],[HTML_apprentissage]],Tableau1[[#This Row],[HTML_specs_col]],Tableau1[[#This Row],[HTML_Execution]],Tableau1[[#This Row],[HTML_Souffle]],Tableau1[[#This Row],[HTML_Concentration]],Tableau1[[#This Row],[HTML_Adrénaline]],Tableau1[[#This Row],[HTML_specs_suffix]],Tableau1[[#This Row],[HTML_effets]],Tableau1[[#This Row],[HTML_suffix]])</f>
        <v>&lt;div class="comp"&gt;&lt;h4 class="nom"&gt;Charge féroce&lt;/h4&gt;&lt;table class="spec"&gt;&lt;tr&gt;&lt;td class="left"&gt;&lt;span class="profil"&gt;Profil Puissant&lt;/span&gt;&lt;span class="apprentissage"&gt;Apprentissage : &lt;span&gt;Vigueur 15&lt;/span&gt;&lt;/span&gt;&lt;/td&gt;&lt;td class="right"&gt;&lt;p&gt;Exécution : &lt;span&gt;6&lt;/span&gt;&lt;/p&gt;&lt;p&gt;Souffle : &lt;span class="jauge"&gt;2&lt;/span&gt;&lt;/p&gt;&lt;p&gt;Concentration : &lt;span class="jauge"&gt;-&lt;/span&gt;&lt;/p&gt;&lt;/td&gt;&lt;/tr&gt;&lt;/table class=""spec""&gt;&lt;div class="effets"&gt;Après avoir réalisé un déplacement de plus de 5m qui l'amène à portée de sa cible, le personnage engage toute son énergie dans un coup meurtrier. Celui-ci devra réussir un test de &lt;span class="stat"&gt;Vigueur&lt;/span&gt; opposé ou être déstabilisé pour 1 tour.&lt;br /&gt;Le personnage quant à lui subit des dégâts égaux au quart de sa &lt;span class="stat"&gt;Vigueur&lt;/span&gt; mais augmente les dégâts de son attaque de la moitié de sa &lt;span class="stat"&gt;Vigueur&lt;/div&gt;&lt;/div&gt;</v>
      </c>
      <c r="AG58" s="8" t="str">
        <f>IF(ISBLANK(Tableau1[[#This Row],[Nom]]),"",IF(B58&lt;&gt;B57,CONCATENATE("&lt;/div&gt;&lt;div class=""voie ",Tableau1[[#This Row],[Caractéristique]],"""&gt;&lt;h3&gt;",Tableau1[[#This Row],[Voie]],"&lt;/h3&gt;",Tableau1[[#This Row],[HTML_ligne]]),Tableau1[[#This Row],[HTML_ligne]]))</f>
        <v>&lt;div class="comp"&gt;&lt;h4 class="nom"&gt;Charge féroce&lt;/h4&gt;&lt;table class="spec"&gt;&lt;tr&gt;&lt;td class="left"&gt;&lt;span class="profil"&gt;Profil Puissant&lt;/span&gt;&lt;span class="apprentissage"&gt;Apprentissage : &lt;span&gt;Vigueur 15&lt;/span&gt;&lt;/span&gt;&lt;/td&gt;&lt;td class="right"&gt;&lt;p&gt;Exécution : &lt;span&gt;6&lt;/span&gt;&lt;/p&gt;&lt;p&gt;Souffle : &lt;span class="jauge"&gt;2&lt;/span&gt;&lt;/p&gt;&lt;p&gt;Concentration : &lt;span class="jauge"&gt;-&lt;/span&gt;&lt;/p&gt;&lt;/td&gt;&lt;/tr&gt;&lt;/table class=""spec""&gt;&lt;div class="effets"&gt;Après avoir réalisé un déplacement de plus de 5m qui l'amène à portée de sa cible, le personnage engage toute son énergie dans un coup meurtrier. Celui-ci devra réussir un test de &lt;span class="stat"&gt;Vigueur&lt;/span&gt; opposé ou être déstabilisé pour 1 tour.&lt;br /&gt;Le personnage quant à lui subit des dégâts égaux au quart de sa &lt;span class="stat"&gt;Vigueur&lt;/span&gt; mais augmente les dégâts de son attaque de la moitié de sa &lt;span class="stat"&gt;Vigueur&lt;/div&gt;&lt;/div&gt;</v>
      </c>
    </row>
    <row r="59" spans="1:33" x14ac:dyDescent="0.25">
      <c r="B59" s="3" t="s">
        <v>177</v>
      </c>
      <c r="C59" s="10">
        <v>2</v>
      </c>
      <c r="D59" s="3" t="s">
        <v>176</v>
      </c>
      <c r="E59" s="4">
        <f>IFERROR(VLOOKUP(Tableau1[[#This Row],[Niveau]],Tableau2[],2,FALSE),"")</f>
        <v>15</v>
      </c>
      <c r="F59" s="3" t="s">
        <v>178</v>
      </c>
      <c r="K59" s="10" t="b">
        <v>1</v>
      </c>
      <c r="N59" s="4" t="b">
        <f>IF(Tableau1[[#This Row],[Niveau]]=0,TRUE,FALSE)</f>
        <v>0</v>
      </c>
      <c r="O59" s="5" t="s">
        <v>179</v>
      </c>
      <c r="Q59" s="6" t="s">
        <v>65</v>
      </c>
      <c r="R59" s="6" t="str">
        <f>CONCATENATE("&lt;h4 class=""nom""&gt;",Tableau1[[#This Row],[Nom]],"&lt;/h4&gt;")</f>
        <v>&lt;h4 class="nom"&gt;Sang-froid&lt;/h4&gt;</v>
      </c>
      <c r="S59" s="6" t="s">
        <v>66</v>
      </c>
      <c r="T59" s="6" t="str">
        <f>IF(Tableau1[[#This Row],[Passif ?]],"&lt;span class=""passive""&gt;Action passive&lt;/span&gt;","")</f>
        <v>&lt;span class="passive"&gt;Action passive&lt;/span&gt;</v>
      </c>
      <c r="U59" s="6" t="str">
        <f>IF(ISBLANK(Tableau1[[#This Row],[Profil]]),"",CONCATENATE("&lt;span class=""profil""&gt;Profil ",Tableau1[[#This Row],[Profil]],"&lt;/span&gt;"))</f>
        <v/>
      </c>
      <c r="V59" s="6" t="str">
        <f>IF(Tableau1[[#This Row],[Innée ?]],"&lt;span class=""innee""&gt;Action innée&lt;/span&gt;","")</f>
        <v/>
      </c>
      <c r="W59" s="6" t="str">
        <f>IF(Tableau1[[#This Row],[Niveau]]&gt;0,CONCATENATE("&lt;span class=""apprentissage""&gt;Apprentissage : &lt;span&gt;",Tableau1[[#This Row],[Caractéristique]], " ",Tableau1[[#This Row],[Apprentissage]],"&lt;/span&gt;&lt;/span&gt;"),"")</f>
        <v>&lt;span class="apprentissage"&gt;Apprentissage : &lt;span&gt;Bravoure 15&lt;/span&gt;&lt;/span&gt;</v>
      </c>
      <c r="X59" s="6" t="s">
        <v>67</v>
      </c>
      <c r="Y59" s="6" t="str">
        <f>CONCATENATE("&lt;p&gt;Exécution : &lt;span&gt;", IF(Tableau1[[#This Row],[Exécution]]&gt;0,Tableau1[[#This Row],[Exécution]],"-"), "&lt;/span&gt;&lt;/p&gt;")</f>
        <v>&lt;p&gt;Exécution : &lt;span&gt;-&lt;/span&gt;&lt;/p&gt;</v>
      </c>
      <c r="Z59" s="6" t="str">
        <f>CONCATENATE("&lt;p&gt;Souffle : &lt;span class=""jauge""&gt;", IF(Tableau1[[#This Row],[Souffle]]&gt;0,Tableau1[[#This Row],[Souffle]],"-"), "&lt;/span&gt;&lt;/p&gt;")</f>
        <v>&lt;p&gt;Souffle : &lt;span class="jauge"&gt;-&lt;/span&gt;&lt;/p&gt;</v>
      </c>
      <c r="AA59" s="6" t="str">
        <f>CONCATENATE("&lt;p&gt;Concentration : &lt;span class=""jauge""&gt;",IF(Tableau1[[#This Row],[Concentration]]&gt;0,Tableau1[[#This Row],[Concentration]],"-"), "&lt;/span&gt;&lt;/p&gt;")</f>
        <v>&lt;p&gt;Concentration : &lt;span class="jauge"&gt;-&lt;/span&gt;&lt;/p&gt;</v>
      </c>
      <c r="AB59" s="6" t="str">
        <f>IF(Tableau1[[#This Row],[Adrénaline]]&gt;0,CONCATENATE("&lt;p&gt;Adrénaline : &lt;span class=""jauge""&gt;", Tableau1[[#This Row],[Adrénaline]], "&lt;/span&gt;&lt;/p&gt;"),"")</f>
        <v/>
      </c>
      <c r="AC59" s="6" t="s">
        <v>50</v>
      </c>
      <c r="AD59" s="6" t="str">
        <f>CONCATENATE("&lt;div class=""effets""&gt;",Tableau1[[#This Row],[Effets]],"&lt;/div&gt;")</f>
        <v>&lt;div class="effets"&gt;Lorsqu'il décide d'encaisser une attaque, le test de &lt;span class="stat"&gt;Courage&lt;/span&gt; passe à 15.&lt;/div&gt;</v>
      </c>
      <c r="AE59" s="6" t="s">
        <v>64</v>
      </c>
      <c r="AF59" s="6" t="str">
        <f>CONCATENATE(Tableau1[[#This Row],[HTML_prefix]],Tableau1[[#This Row],[HTML_nom]],Tableau1[[#This Row],[HTML_specs_prefix]],Tableau1[[#This Row],[HTML_passif]],Tableau1[[#This Row],[HTML_profil]],Tableau1[[#This Row],[HTML_innée]],Tableau1[[#This Row],[HTML_apprentissage]],Tableau1[[#This Row],[HTML_specs_col]],Tableau1[[#This Row],[HTML_Execution]],Tableau1[[#This Row],[HTML_Souffle]],Tableau1[[#This Row],[HTML_Concentration]],Tableau1[[#This Row],[HTML_Adrénaline]],Tableau1[[#This Row],[HTML_specs_suffix]],Tableau1[[#This Row],[HTML_effets]],Tableau1[[#This Row],[HTML_suffix]])</f>
        <v>&lt;div class="comp"&gt;&lt;h4 class="nom"&gt;Sang-froid&lt;/h4&gt;&lt;table class="spec"&gt;&lt;tr&gt;&lt;td class="left"&gt;&lt;span class="passive"&gt;Action passive&lt;/span&gt;&lt;span class="apprentissage"&gt;Apprentissage : &lt;span&gt;Bravoure 15&lt;/span&gt;&lt;/span&gt;&lt;/td&gt;&lt;td class="right"&gt;&lt;p&gt;Exécution : &lt;span&gt;-&lt;/span&gt;&lt;/p&gt;&lt;p&gt;Souffle : &lt;span class="jauge"&gt;-&lt;/span&gt;&lt;/p&gt;&lt;p&gt;Concentration : &lt;span class="jauge"&gt;-&lt;/span&gt;&lt;/p&gt;&lt;/td&gt;&lt;/tr&gt;&lt;/table class=""spec""&gt;&lt;div class="effets"&gt;Lorsqu'il décide d'encaisser une attaque, le test de &lt;span class="stat"&gt;Courage&lt;/span&gt; passe à 15.&lt;/div&gt;&lt;/div&gt;</v>
      </c>
      <c r="AG59" s="8" t="str">
        <f>IF(ISBLANK(Tableau1[[#This Row],[Nom]]),"",IF(B59&lt;&gt;B58,CONCATENATE("&lt;/div&gt;&lt;div class=""voie ",Tableau1[[#This Row],[Caractéristique]],"""&gt;&lt;h3&gt;",Tableau1[[#This Row],[Voie]],"&lt;/h3&gt;",Tableau1[[#This Row],[HTML_ligne]]),Tableau1[[#This Row],[HTML_ligne]]))</f>
        <v>&lt;/div&gt;&lt;div class="voie Bravoure"&gt;&lt;h3&gt;Courage&lt;/h3&gt;&lt;div class="comp"&gt;&lt;h4 class="nom"&gt;Sang-froid&lt;/h4&gt;&lt;table class="spec"&gt;&lt;tr&gt;&lt;td class="left"&gt;&lt;span class="passive"&gt;Action passive&lt;/span&gt;&lt;span class="apprentissage"&gt;Apprentissage : &lt;span&gt;Bravoure 15&lt;/span&gt;&lt;/span&gt;&lt;/td&gt;&lt;td class="right"&gt;&lt;p&gt;Exécution : &lt;span&gt;-&lt;/span&gt;&lt;/p&gt;&lt;p&gt;Souffle : &lt;span class="jauge"&gt;-&lt;/span&gt;&lt;/p&gt;&lt;p&gt;Concentration : &lt;span class="jauge"&gt;-&lt;/span&gt;&lt;/p&gt;&lt;/td&gt;&lt;/tr&gt;&lt;/table class=""spec""&gt;&lt;div class="effets"&gt;Lorsqu'il décide d'encaisser une attaque, le test de &lt;span class="stat"&gt;Courage&lt;/span&gt; passe à 15.&lt;/div&gt;&lt;/div&gt;</v>
      </c>
    </row>
    <row r="60" spans="1:33" x14ac:dyDescent="0.25">
      <c r="B60" s="3" t="s">
        <v>177</v>
      </c>
      <c r="C60" s="10">
        <v>2</v>
      </c>
      <c r="D60" s="3" t="s">
        <v>180</v>
      </c>
      <c r="E60" s="4">
        <f>IFERROR(VLOOKUP(Tableau1[[#This Row],[Niveau]],Tableau2[],2,FALSE),"")</f>
        <v>15</v>
      </c>
      <c r="F60" s="3" t="s">
        <v>178</v>
      </c>
      <c r="K60" s="10" t="b">
        <v>1</v>
      </c>
      <c r="N60" s="4" t="b">
        <f>IF(Tableau1[[#This Row],[Niveau]]=0,TRUE,FALSE)</f>
        <v>0</v>
      </c>
      <c r="O60" s="5" t="s">
        <v>181</v>
      </c>
      <c r="Q60" s="6" t="s">
        <v>65</v>
      </c>
      <c r="R60" s="6" t="str">
        <f>CONCATENATE("&lt;h4 class=""nom""&gt;",Tableau1[[#This Row],[Nom]],"&lt;/h4&gt;")</f>
        <v>&lt;h4 class="nom"&gt;Réponse adaptée&lt;/h4&gt;</v>
      </c>
      <c r="S60" s="6" t="s">
        <v>66</v>
      </c>
      <c r="T60" s="6" t="str">
        <f>IF(Tableau1[[#This Row],[Passif ?]],"&lt;span class=""passive""&gt;Action passive&lt;/span&gt;","")</f>
        <v>&lt;span class="passive"&gt;Action passive&lt;/span&gt;</v>
      </c>
      <c r="U60" s="6" t="str">
        <f>IF(ISBLANK(Tableau1[[#This Row],[Profil]]),"",CONCATENATE("&lt;span class=""profil""&gt;Profil ",Tableau1[[#This Row],[Profil]],"&lt;/span&gt;"))</f>
        <v/>
      </c>
      <c r="V60" s="6" t="str">
        <f>IF(Tableau1[[#This Row],[Innée ?]],"&lt;span class=""innee""&gt;Action innée&lt;/span&gt;","")</f>
        <v/>
      </c>
      <c r="W60" s="6" t="str">
        <f>IF(Tableau1[[#This Row],[Niveau]]&gt;0,CONCATENATE("&lt;span class=""apprentissage""&gt;Apprentissage : &lt;span&gt;",Tableau1[[#This Row],[Caractéristique]], " ",Tableau1[[#This Row],[Apprentissage]],"&lt;/span&gt;&lt;/span&gt;"),"")</f>
        <v>&lt;span class="apprentissage"&gt;Apprentissage : &lt;span&gt;Bravoure 15&lt;/span&gt;&lt;/span&gt;</v>
      </c>
      <c r="X60" s="6" t="s">
        <v>67</v>
      </c>
      <c r="Y60" s="6" t="str">
        <f>CONCATENATE("&lt;p&gt;Exécution : &lt;span&gt;", IF(Tableau1[[#This Row],[Exécution]]&gt;0,Tableau1[[#This Row],[Exécution]],"-"), "&lt;/span&gt;&lt;/p&gt;")</f>
        <v>&lt;p&gt;Exécution : &lt;span&gt;-&lt;/span&gt;&lt;/p&gt;</v>
      </c>
      <c r="Z60" s="6" t="str">
        <f>CONCATENATE("&lt;p&gt;Souffle : &lt;span class=""jauge""&gt;", IF(Tableau1[[#This Row],[Souffle]]&gt;0,Tableau1[[#This Row],[Souffle]],"-"), "&lt;/span&gt;&lt;/p&gt;")</f>
        <v>&lt;p&gt;Souffle : &lt;span class="jauge"&gt;-&lt;/span&gt;&lt;/p&gt;</v>
      </c>
      <c r="AA60" s="6" t="str">
        <f>CONCATENATE("&lt;p&gt;Concentration : &lt;span class=""jauge""&gt;",IF(Tableau1[[#This Row],[Concentration]]&gt;0,Tableau1[[#This Row],[Concentration]],"-"), "&lt;/span&gt;&lt;/p&gt;")</f>
        <v>&lt;p&gt;Concentration : &lt;span class="jauge"&gt;-&lt;/span&gt;&lt;/p&gt;</v>
      </c>
      <c r="AB60" s="6" t="str">
        <f>IF(Tableau1[[#This Row],[Adrénaline]]&gt;0,CONCATENATE("&lt;p&gt;Adrénaline : &lt;span class=""jauge""&gt;", Tableau1[[#This Row],[Adrénaline]], "&lt;/span&gt;&lt;/p&gt;"),"")</f>
        <v/>
      </c>
      <c r="AC60" s="6" t="s">
        <v>50</v>
      </c>
      <c r="AD60" s="6" t="str">
        <f>CONCATENATE("&lt;div class=""effets""&gt;",Tableau1[[#This Row],[Effets]],"&lt;/div&gt;")</f>
        <v>&lt;div class="effets"&gt;Lorsque le personnage encaisse une attaque basée sur un profil rapide, il n'a pas besoin de réaliser un jet de &lt;span class="stat"&gt;Courage&lt;/span&gt;.&lt;/div&gt;</v>
      </c>
      <c r="AE60" s="6" t="s">
        <v>64</v>
      </c>
      <c r="AF60" s="6" t="str">
        <f>CONCATENATE(Tableau1[[#This Row],[HTML_prefix]],Tableau1[[#This Row],[HTML_nom]],Tableau1[[#This Row],[HTML_specs_prefix]],Tableau1[[#This Row],[HTML_passif]],Tableau1[[#This Row],[HTML_profil]],Tableau1[[#This Row],[HTML_innée]],Tableau1[[#This Row],[HTML_apprentissage]],Tableau1[[#This Row],[HTML_specs_col]],Tableau1[[#This Row],[HTML_Execution]],Tableau1[[#This Row],[HTML_Souffle]],Tableau1[[#This Row],[HTML_Concentration]],Tableau1[[#This Row],[HTML_Adrénaline]],Tableau1[[#This Row],[HTML_specs_suffix]],Tableau1[[#This Row],[HTML_effets]],Tableau1[[#This Row],[HTML_suffix]])</f>
        <v>&lt;div class="comp"&gt;&lt;h4 class="nom"&gt;Réponse adaptée&lt;/h4&gt;&lt;table class="spec"&gt;&lt;tr&gt;&lt;td class="left"&gt;&lt;span class="passive"&gt;Action passive&lt;/span&gt;&lt;span class="apprentissage"&gt;Apprentissage : &lt;span&gt;Bravoure 15&lt;/span&gt;&lt;/span&gt;&lt;/td&gt;&lt;td class="right"&gt;&lt;p&gt;Exécution : &lt;span&gt;-&lt;/span&gt;&lt;/p&gt;&lt;p&gt;Souffle : &lt;span class="jauge"&gt;-&lt;/span&gt;&lt;/p&gt;&lt;p&gt;Concentration : &lt;span class="jauge"&gt;-&lt;/span&gt;&lt;/p&gt;&lt;/td&gt;&lt;/tr&gt;&lt;/table class=""spec""&gt;&lt;div class="effets"&gt;Lorsque le personnage encaisse une attaque basée sur un profil rapide, il n'a pas besoin de réaliser un jet de &lt;span class="stat"&gt;Courage&lt;/span&gt;.&lt;/div&gt;&lt;/div&gt;</v>
      </c>
      <c r="AG60" s="8" t="str">
        <f>IF(ISBLANK(Tableau1[[#This Row],[Nom]]),"",IF(B60&lt;&gt;B59,CONCATENATE("&lt;/div&gt;&lt;div class=""voie ",Tableau1[[#This Row],[Caractéristique]],"""&gt;&lt;h3&gt;",Tableau1[[#This Row],[Voie]],"&lt;/h3&gt;",Tableau1[[#This Row],[HTML_ligne]]),Tableau1[[#This Row],[HTML_ligne]]))</f>
        <v>&lt;div class="comp"&gt;&lt;h4 class="nom"&gt;Réponse adaptée&lt;/h4&gt;&lt;table class="spec"&gt;&lt;tr&gt;&lt;td class="left"&gt;&lt;span class="passive"&gt;Action passive&lt;/span&gt;&lt;span class="apprentissage"&gt;Apprentissage : &lt;span&gt;Bravoure 15&lt;/span&gt;&lt;/span&gt;&lt;/td&gt;&lt;td class="right"&gt;&lt;p&gt;Exécution : &lt;span&gt;-&lt;/span&gt;&lt;/p&gt;&lt;p&gt;Souffle : &lt;span class="jauge"&gt;-&lt;/span&gt;&lt;/p&gt;&lt;p&gt;Concentration : &lt;span class="jauge"&gt;-&lt;/span&gt;&lt;/p&gt;&lt;/td&gt;&lt;/tr&gt;&lt;/table class=""spec""&gt;&lt;div class="effets"&gt;Lorsque le personnage encaisse une attaque basée sur un profil rapide, il n'a pas besoin de réaliser un jet de &lt;span class="stat"&gt;Courage&lt;/span&gt;.&lt;/div&gt;&lt;/div&gt;</v>
      </c>
    </row>
    <row r="61" spans="1:33" ht="30" x14ac:dyDescent="0.25">
      <c r="B61" s="3" t="s">
        <v>177</v>
      </c>
      <c r="C61" s="10">
        <v>3</v>
      </c>
      <c r="D61" s="3" t="s">
        <v>182</v>
      </c>
      <c r="E61" s="4">
        <f>IFERROR(VLOOKUP(Tableau1[[#This Row],[Niveau]],Tableau2[],2,FALSE),"")</f>
        <v>20</v>
      </c>
      <c r="F61" s="3" t="s">
        <v>178</v>
      </c>
      <c r="I61" s="10">
        <v>1</v>
      </c>
      <c r="K61" s="10" t="b">
        <v>1</v>
      </c>
      <c r="N61" s="4" t="b">
        <f>IF(Tableau1[[#This Row],[Niveau]]=0,TRUE,FALSE)</f>
        <v>0</v>
      </c>
      <c r="O61" s="5" t="s">
        <v>183</v>
      </c>
      <c r="Q61" s="6" t="s">
        <v>65</v>
      </c>
      <c r="R61" s="6" t="str">
        <f>CONCATENATE("&lt;h4 class=""nom""&gt;",Tableau1[[#This Row],[Nom]],"&lt;/h4&gt;")</f>
        <v>&lt;h4 class="nom"&gt;Encore un effort&lt;/h4&gt;</v>
      </c>
      <c r="S61" s="6" t="s">
        <v>66</v>
      </c>
      <c r="T61" s="6" t="str">
        <f>IF(Tableau1[[#This Row],[Passif ?]],"&lt;span class=""passive""&gt;Action passive&lt;/span&gt;","")</f>
        <v>&lt;span class="passive"&gt;Action passive&lt;/span&gt;</v>
      </c>
      <c r="U61" s="6" t="str">
        <f>IF(ISBLANK(Tableau1[[#This Row],[Profil]]),"",CONCATENATE("&lt;span class=""profil""&gt;Profil ",Tableau1[[#This Row],[Profil]],"&lt;/span&gt;"))</f>
        <v/>
      </c>
      <c r="V61" s="6" t="str">
        <f>IF(Tableau1[[#This Row],[Innée ?]],"&lt;span class=""innee""&gt;Action innée&lt;/span&gt;","")</f>
        <v/>
      </c>
      <c r="W61" s="6" t="str">
        <f>IF(Tableau1[[#This Row],[Niveau]]&gt;0,CONCATENATE("&lt;span class=""apprentissage""&gt;Apprentissage : &lt;span&gt;",Tableau1[[#This Row],[Caractéristique]], " ",Tableau1[[#This Row],[Apprentissage]],"&lt;/span&gt;&lt;/span&gt;"),"")</f>
        <v>&lt;span class="apprentissage"&gt;Apprentissage : &lt;span&gt;Bravoure 20&lt;/span&gt;&lt;/span&gt;</v>
      </c>
      <c r="X61" s="6" t="s">
        <v>67</v>
      </c>
      <c r="Y61" s="6" t="str">
        <f>CONCATENATE("&lt;p&gt;Exécution : &lt;span&gt;", IF(Tableau1[[#This Row],[Exécution]]&gt;0,Tableau1[[#This Row],[Exécution]],"-"), "&lt;/span&gt;&lt;/p&gt;")</f>
        <v>&lt;p&gt;Exécution : &lt;span&gt;-&lt;/span&gt;&lt;/p&gt;</v>
      </c>
      <c r="Z61" s="6" t="str">
        <f>CONCATENATE("&lt;p&gt;Souffle : &lt;span class=""jauge""&gt;", IF(Tableau1[[#This Row],[Souffle]]&gt;0,Tableau1[[#This Row],[Souffle]],"-"), "&lt;/span&gt;&lt;/p&gt;")</f>
        <v>&lt;p&gt;Souffle : &lt;span class="jauge"&gt;-&lt;/span&gt;&lt;/p&gt;</v>
      </c>
      <c r="AA61" s="6" t="str">
        <f>CONCATENATE("&lt;p&gt;Concentration : &lt;span class=""jauge""&gt;",IF(Tableau1[[#This Row],[Concentration]]&gt;0,Tableau1[[#This Row],[Concentration]],"-"), "&lt;/span&gt;&lt;/p&gt;")</f>
        <v>&lt;p&gt;Concentration : &lt;span class="jauge"&gt;1&lt;/span&gt;&lt;/p&gt;</v>
      </c>
      <c r="AB61" s="6" t="str">
        <f>IF(Tableau1[[#This Row],[Adrénaline]]&gt;0,CONCATENATE("&lt;p&gt;Adrénaline : &lt;span class=""jauge""&gt;", Tableau1[[#This Row],[Adrénaline]], "&lt;/span&gt;&lt;/p&gt;"),"")</f>
        <v/>
      </c>
      <c r="AC61" s="6" t="s">
        <v>50</v>
      </c>
      <c r="AD61" s="6" t="str">
        <f>CONCATENATE("&lt;div class=""effets""&gt;",Tableau1[[#This Row],[Effets]],"&lt;/div&gt;")</f>
        <v>&lt;div class="effets"&gt;En cas d'échec d'un jet de &lt;span class="stat"&gt;Courage&lt;/span&gt;, le personnage peut dépenser 1 point de  &lt;span class="jauge"&gt;Concentration&lt;/span&gt; pour relancer son jet.&lt;/div&gt;</v>
      </c>
      <c r="AE61" s="6" t="s">
        <v>64</v>
      </c>
      <c r="AF61" s="6" t="str">
        <f>CONCATENATE(Tableau1[[#This Row],[HTML_prefix]],Tableau1[[#This Row],[HTML_nom]],Tableau1[[#This Row],[HTML_specs_prefix]],Tableau1[[#This Row],[HTML_passif]],Tableau1[[#This Row],[HTML_profil]],Tableau1[[#This Row],[HTML_innée]],Tableau1[[#This Row],[HTML_apprentissage]],Tableau1[[#This Row],[HTML_specs_col]],Tableau1[[#This Row],[HTML_Execution]],Tableau1[[#This Row],[HTML_Souffle]],Tableau1[[#This Row],[HTML_Concentration]],Tableau1[[#This Row],[HTML_Adrénaline]],Tableau1[[#This Row],[HTML_specs_suffix]],Tableau1[[#This Row],[HTML_effets]],Tableau1[[#This Row],[HTML_suffix]])</f>
        <v>&lt;div class="comp"&gt;&lt;h4 class="nom"&gt;Encore un effort&lt;/h4&gt;&lt;table class="spec"&gt;&lt;tr&gt;&lt;td class="left"&gt;&lt;span class="passive"&gt;Action passive&lt;/span&gt;&lt;span class="apprentissage"&gt;Apprentissage : &lt;span&gt;Bravoure 20&lt;/span&gt;&lt;/span&gt;&lt;/td&gt;&lt;td class="right"&gt;&lt;p&gt;Exécution : &lt;span&gt;-&lt;/span&gt;&lt;/p&gt;&lt;p&gt;Souffle : &lt;span class="jauge"&gt;-&lt;/span&gt;&lt;/p&gt;&lt;p&gt;Concentration : &lt;span class="jauge"&gt;1&lt;/span&gt;&lt;/p&gt;&lt;/td&gt;&lt;/tr&gt;&lt;/table class=""spec""&gt;&lt;div class="effets"&gt;En cas d'échec d'un jet de &lt;span class="stat"&gt;Courage&lt;/span&gt;, le personnage peut dépenser 1 point de  &lt;span class="jauge"&gt;Concentration&lt;/span&gt; pour relancer son jet.&lt;/div&gt;&lt;/div&gt;</v>
      </c>
      <c r="AG61" s="8" t="str">
        <f>IF(ISBLANK(Tableau1[[#This Row],[Nom]]),"",IF(B61&lt;&gt;B60,CONCATENATE("&lt;/div&gt;&lt;div class=""voie ",Tableau1[[#This Row],[Caractéristique]],"""&gt;&lt;h3&gt;",Tableau1[[#This Row],[Voie]],"&lt;/h3&gt;",Tableau1[[#This Row],[HTML_ligne]]),Tableau1[[#This Row],[HTML_ligne]]))</f>
        <v>&lt;div class="comp"&gt;&lt;h4 class="nom"&gt;Encore un effort&lt;/h4&gt;&lt;table class="spec"&gt;&lt;tr&gt;&lt;td class="left"&gt;&lt;span class="passive"&gt;Action passive&lt;/span&gt;&lt;span class="apprentissage"&gt;Apprentissage : &lt;span&gt;Bravoure 20&lt;/span&gt;&lt;/span&gt;&lt;/td&gt;&lt;td class="right"&gt;&lt;p&gt;Exécution : &lt;span&gt;-&lt;/span&gt;&lt;/p&gt;&lt;p&gt;Souffle : &lt;span class="jauge"&gt;-&lt;/span&gt;&lt;/p&gt;&lt;p&gt;Concentration : &lt;span class="jauge"&gt;1&lt;/span&gt;&lt;/p&gt;&lt;/td&gt;&lt;/tr&gt;&lt;/table class=""spec""&gt;&lt;div class="effets"&gt;En cas d'échec d'un jet de &lt;span class="stat"&gt;Courage&lt;/span&gt;, le personnage peut dépenser 1 point de  &lt;span class="jauge"&gt;Concentration&lt;/span&gt; pour relancer son jet.&lt;/div&gt;&lt;/div&gt;</v>
      </c>
    </row>
    <row r="62" spans="1:33" ht="45" x14ac:dyDescent="0.25">
      <c r="B62" s="3" t="s">
        <v>157</v>
      </c>
      <c r="C62" s="10">
        <v>1</v>
      </c>
      <c r="D62" s="3" t="s">
        <v>158</v>
      </c>
      <c r="E62" s="4">
        <f>IFERROR(VLOOKUP(Tableau1[[#This Row],[Niveau]],Tableau2[],2,FALSE),"")</f>
        <v>10</v>
      </c>
      <c r="F62" s="3" t="s">
        <v>58</v>
      </c>
      <c r="G62" s="10">
        <v>6</v>
      </c>
      <c r="H62" s="10">
        <v>1</v>
      </c>
      <c r="L62" s="10" t="b">
        <v>1</v>
      </c>
      <c r="M62" s="25" t="s">
        <v>37</v>
      </c>
      <c r="N62" s="4" t="b">
        <f>IF(Tableau1[[#This Row],[Niveau]]=0,TRUE,FALSE)</f>
        <v>0</v>
      </c>
      <c r="O62" s="5" t="s">
        <v>159</v>
      </c>
      <c r="Q62" s="6" t="s">
        <v>65</v>
      </c>
      <c r="R62" s="6" t="str">
        <f>CONCATENATE("&lt;h4 class=""nom""&gt;",Tableau1[[#This Row],[Nom]],"&lt;/h4&gt;")</f>
        <v>&lt;h4 class="nom"&gt;Coup croisé&lt;/h4&gt;</v>
      </c>
      <c r="S62" s="6" t="s">
        <v>66</v>
      </c>
      <c r="T62" s="6" t="str">
        <f>IF(Tableau1[[#This Row],[Passif ?]],"&lt;span class=""passive""&gt;Action passive&lt;/span&gt;","")</f>
        <v/>
      </c>
      <c r="U62" s="6" t="str">
        <f>IF(ISBLANK(Tableau1[[#This Row],[Profil]]),"",CONCATENATE("&lt;span class=""profil""&gt;Profil ",Tableau1[[#This Row],[Profil]],"&lt;/span&gt;"))</f>
        <v>&lt;span class="profil"&gt;Profil Précis&lt;/span&gt;</v>
      </c>
      <c r="V62" s="6" t="str">
        <f>IF(Tableau1[[#This Row],[Innée ?]],"&lt;span class=""innee""&gt;Action innée&lt;/span&gt;","")</f>
        <v/>
      </c>
      <c r="W62" s="6" t="str">
        <f>IF(Tableau1[[#This Row],[Niveau]]&gt;0,CONCATENATE("&lt;span class=""apprentissage""&gt;Apprentissage : &lt;span&gt;",Tableau1[[#This Row],[Caractéristique]], " ",Tableau1[[#This Row],[Apprentissage]],"&lt;/span&gt;&lt;/span&gt;"),"")</f>
        <v>&lt;span class="apprentissage"&gt;Apprentissage : &lt;span&gt;Adresse 10&lt;/span&gt;&lt;/span&gt;</v>
      </c>
      <c r="X62" s="6" t="s">
        <v>67</v>
      </c>
      <c r="Y62" s="6" t="str">
        <f>CONCATENATE("&lt;p&gt;Exécution : &lt;span&gt;", IF(Tableau1[[#This Row],[Exécution]]&gt;0,Tableau1[[#This Row],[Exécution]],"-"), "&lt;/span&gt;&lt;/p&gt;")</f>
        <v>&lt;p&gt;Exécution : &lt;span&gt;6&lt;/span&gt;&lt;/p&gt;</v>
      </c>
      <c r="Z62" s="6" t="str">
        <f>CONCATENATE("&lt;p&gt;Souffle : &lt;span class=""jauge""&gt;", IF(Tableau1[[#This Row],[Souffle]]&gt;0,Tableau1[[#This Row],[Souffle]],"-"), "&lt;/span&gt;&lt;/p&gt;")</f>
        <v>&lt;p&gt;Souffle : &lt;span class="jauge"&gt;1&lt;/span&gt;&lt;/p&gt;</v>
      </c>
      <c r="AA62" s="6" t="str">
        <f>CONCATENATE("&lt;p&gt;Concentration : &lt;span class=""jauge""&gt;",IF(Tableau1[[#This Row],[Concentration]]&gt;0,Tableau1[[#This Row],[Concentration]],"-"), "&lt;/span&gt;&lt;/p&gt;")</f>
        <v>&lt;p&gt;Concentration : &lt;span class="jauge"&gt;-&lt;/span&gt;&lt;/p&gt;</v>
      </c>
      <c r="AB62" s="6" t="str">
        <f>IF(Tableau1[[#This Row],[Adrénaline]]&gt;0,CONCATENATE("&lt;p&gt;Adrénaline : &lt;span class=""jauge""&gt;", Tableau1[[#This Row],[Adrénaline]], "&lt;/span&gt;&lt;/p&gt;"),"")</f>
        <v/>
      </c>
      <c r="AC62" s="6" t="s">
        <v>50</v>
      </c>
      <c r="AD62" s="6" t="str">
        <f>CONCATENATE("&lt;div class=""effets""&gt;",Tableau1[[#This Row],[Effets]],"&lt;/div&gt;")</f>
        <v>&lt;div class="effets"&gt;Avec deux armes, le personnage porte une attaque simultanée des deux côtés de son adversaire. C'est l'arme principale qui est considérée comme portant l'attaque (pas de jet de dé pour l'arme secondaire). Si l'adversaire veut parer le coup, il doit réaliser une parade pour chaque arme, par contre il peut esquiver les deux coups en une esquive. L'attaque aura un malus de -5 en attaque.&lt;/div&gt;</v>
      </c>
      <c r="AE62" s="6" t="s">
        <v>64</v>
      </c>
      <c r="AF62" s="6" t="str">
        <f>CONCATENATE(Tableau1[[#This Row],[HTML_prefix]],Tableau1[[#This Row],[HTML_nom]],Tableau1[[#This Row],[HTML_specs_prefix]],Tableau1[[#This Row],[HTML_passif]],Tableau1[[#This Row],[HTML_profil]],Tableau1[[#This Row],[HTML_innée]],Tableau1[[#This Row],[HTML_apprentissage]],Tableau1[[#This Row],[HTML_specs_col]],Tableau1[[#This Row],[HTML_Execution]],Tableau1[[#This Row],[HTML_Souffle]],Tableau1[[#This Row],[HTML_Concentration]],Tableau1[[#This Row],[HTML_Adrénaline]],Tableau1[[#This Row],[HTML_specs_suffix]],Tableau1[[#This Row],[HTML_effets]],Tableau1[[#This Row],[HTML_suffix]])</f>
        <v>&lt;div class="comp"&gt;&lt;h4 class="nom"&gt;Coup croisé&lt;/h4&gt;&lt;table class="spec"&gt;&lt;tr&gt;&lt;td class="left"&gt;&lt;span class="profil"&gt;Profil Précis&lt;/span&gt;&lt;span class="apprentissage"&gt;Apprentissage : &lt;span&gt;Adresse 10&lt;/span&gt;&lt;/span&gt;&lt;/td&gt;&lt;td class="right"&gt;&lt;p&gt;Exécution : &lt;span&gt;6&lt;/span&gt;&lt;/p&gt;&lt;p&gt;Souffle : &lt;span class="jauge"&gt;1&lt;/span&gt;&lt;/p&gt;&lt;p&gt;Concentration : &lt;span class="jauge"&gt;-&lt;/span&gt;&lt;/p&gt;&lt;/td&gt;&lt;/tr&gt;&lt;/table class=""spec""&gt;&lt;div class="effets"&gt;Avec deux armes, le personnage porte une attaque simultanée des deux côtés de son adversaire. C'est l'arme principale qui est considérée comme portant l'attaque (pas de jet de dé pour l'arme secondaire). Si l'adversaire veut parer le coup, il doit réaliser une parade pour chaque arme, par contre il peut esquiver les deux coups en une esquive. L'attaque aura un malus de -5 en attaque.&lt;/div&gt;&lt;/div&gt;</v>
      </c>
      <c r="AG62" s="8" t="str">
        <f>IF(ISBLANK(Tableau1[[#This Row],[Nom]]),"",IF(B62&lt;&gt;B61,CONCATENATE("&lt;/div&gt;&lt;div class=""voie ",Tableau1[[#This Row],[Caractéristique]],"""&gt;&lt;h3&gt;",Tableau1[[#This Row],[Voie]],"&lt;/h3&gt;",Tableau1[[#This Row],[HTML_ligne]]),Tableau1[[#This Row],[HTML_ligne]]))</f>
        <v>&lt;/div&gt;&lt;div class="voie Adresse"&gt;&lt;h3&gt;Double maniement&lt;/h3&gt;&lt;div class="comp"&gt;&lt;h4 class="nom"&gt;Coup croisé&lt;/h4&gt;&lt;table class="spec"&gt;&lt;tr&gt;&lt;td class="left"&gt;&lt;span class="profil"&gt;Profil Précis&lt;/span&gt;&lt;span class="apprentissage"&gt;Apprentissage : &lt;span&gt;Adresse 10&lt;/span&gt;&lt;/span&gt;&lt;/td&gt;&lt;td class="right"&gt;&lt;p&gt;Exécution : &lt;span&gt;6&lt;/span&gt;&lt;/p&gt;&lt;p&gt;Souffle : &lt;span class="jauge"&gt;1&lt;/span&gt;&lt;/p&gt;&lt;p&gt;Concentration : &lt;span class="jauge"&gt;-&lt;/span&gt;&lt;/p&gt;&lt;/td&gt;&lt;/tr&gt;&lt;/table class=""spec""&gt;&lt;div class="effets"&gt;Avec deux armes, le personnage porte une attaque simultanée des deux côtés de son adversaire. C'est l'arme principale qui est considérée comme portant l'attaque (pas de jet de dé pour l'arme secondaire). Si l'adversaire veut parer le coup, il doit réaliser une parade pour chaque arme, par contre il peut esquiver les deux coups en une esquive. L'attaque aura un malus de -5 en attaque.&lt;/div&gt;&lt;/div&gt;</v>
      </c>
    </row>
    <row r="63" spans="1:33" x14ac:dyDescent="0.25">
      <c r="B63" s="3" t="s">
        <v>157</v>
      </c>
      <c r="C63" s="10">
        <v>3</v>
      </c>
      <c r="D63" s="3" t="s">
        <v>39</v>
      </c>
      <c r="E63" s="4">
        <f>IFERROR(VLOOKUP(Tableau1[[#This Row],[Niveau]],Tableau2[],2,FALSE),"")</f>
        <v>20</v>
      </c>
      <c r="F63" s="3" t="s">
        <v>57</v>
      </c>
      <c r="G63" s="10">
        <v>6</v>
      </c>
      <c r="H63" s="10">
        <v>2</v>
      </c>
      <c r="L63" s="10" t="b">
        <v>1</v>
      </c>
      <c r="M63" s="25" t="s">
        <v>35</v>
      </c>
      <c r="N63" s="4" t="b">
        <f>IF(Tableau1[[#This Row],[Niveau]]=0,TRUE,FALSE)</f>
        <v>0</v>
      </c>
      <c r="O63" s="5" t="s">
        <v>191</v>
      </c>
      <c r="P63" s="3"/>
      <c r="Q63" s="6" t="s">
        <v>65</v>
      </c>
      <c r="R63" s="6" t="str">
        <f>CONCATENATE("&lt;h4 class=""nom""&gt;",Tableau1[[#This Row],[Nom]],"&lt;/h4&gt;")</f>
        <v>&lt;h4 class="nom"&gt;Double coup&lt;/h4&gt;</v>
      </c>
      <c r="S63" s="6" t="s">
        <v>66</v>
      </c>
      <c r="T63" s="6" t="str">
        <f>IF(Tableau1[[#This Row],[Passif ?]],"&lt;span class=""passive""&gt;Action passive&lt;/span&gt;","")</f>
        <v/>
      </c>
      <c r="U63" s="6" t="str">
        <f>IF(ISBLANK(Tableau1[[#This Row],[Profil]]),"",CONCATENATE("&lt;span class=""profil""&gt;Profil ",Tableau1[[#This Row],[Profil]],"&lt;/span&gt;"))</f>
        <v>&lt;span class="profil"&gt;Profil Rapide&lt;/span&gt;</v>
      </c>
      <c r="V63" s="6" t="str">
        <f>IF(Tableau1[[#This Row],[Innée ?]],"&lt;span class=""innee""&gt;Action innée&lt;/span&gt;","")</f>
        <v/>
      </c>
      <c r="W63" s="6" t="str">
        <f>IF(Tableau1[[#This Row],[Niveau]]&gt;0,CONCATENATE("&lt;span class=""apprentissage""&gt;Apprentissage : &lt;span&gt;",Tableau1[[#This Row],[Caractéristique]], " ",Tableau1[[#This Row],[Apprentissage]],"&lt;/span&gt;&lt;/span&gt;"),"")</f>
        <v>&lt;span class="apprentissage"&gt;Apprentissage : &lt;span&gt;Vivacité 20&lt;/span&gt;&lt;/span&gt;</v>
      </c>
      <c r="X63" s="6" t="s">
        <v>67</v>
      </c>
      <c r="Y63" s="6" t="str">
        <f>CONCATENATE("&lt;p&gt;Exécution : &lt;span&gt;", IF(Tableau1[[#This Row],[Exécution]]&gt;0,Tableau1[[#This Row],[Exécution]],"-"), "&lt;/span&gt;&lt;/p&gt;")</f>
        <v>&lt;p&gt;Exécution : &lt;span&gt;6&lt;/span&gt;&lt;/p&gt;</v>
      </c>
      <c r="Z63" s="6" t="str">
        <f>CONCATENATE("&lt;p&gt;Souffle : &lt;span class=""jauge""&gt;", IF(Tableau1[[#This Row],[Souffle]]&gt;0,Tableau1[[#This Row],[Souffle]],"-"), "&lt;/span&gt;&lt;/p&gt;")</f>
        <v>&lt;p&gt;Souffle : &lt;span class="jauge"&gt;2&lt;/span&gt;&lt;/p&gt;</v>
      </c>
      <c r="AA63" s="6" t="str">
        <f>CONCATENATE("&lt;p&gt;Concentration : &lt;span class=""jauge""&gt;",IF(Tableau1[[#This Row],[Concentration]]&gt;0,Tableau1[[#This Row],[Concentration]],"-"), "&lt;/span&gt;&lt;/p&gt;")</f>
        <v>&lt;p&gt;Concentration : &lt;span class="jauge"&gt;-&lt;/span&gt;&lt;/p&gt;</v>
      </c>
      <c r="AB63" s="6" t="str">
        <f>IF(Tableau1[[#This Row],[Adrénaline]]&gt;0,CONCATENATE("&lt;p&gt;Adrénaline : &lt;span class=""jauge""&gt;", Tableau1[[#This Row],[Adrénaline]], "&lt;/span&gt;&lt;/p&gt;"),"")</f>
        <v/>
      </c>
      <c r="AC63" s="6" t="s">
        <v>50</v>
      </c>
      <c r="AD63" s="6" t="str">
        <f>CONCATENATE("&lt;div class=""effets""&gt;",Tableau1[[#This Row],[Effets]],"&lt;/div&gt;")</f>
        <v>&lt;div class="effets"&gt;Le personnage réalise deux attaques consécutives sur la même cible. Ces deux attauqes sont réalisées avec deux armes différentes&lt;/div&gt;</v>
      </c>
      <c r="AE63" s="6" t="s">
        <v>64</v>
      </c>
      <c r="AF63" s="6" t="str">
        <f>CONCATENATE(Tableau1[[#This Row],[HTML_prefix]],Tableau1[[#This Row],[HTML_nom]],Tableau1[[#This Row],[HTML_specs_prefix]],Tableau1[[#This Row],[HTML_passif]],Tableau1[[#This Row],[HTML_profil]],Tableau1[[#This Row],[HTML_innée]],Tableau1[[#This Row],[HTML_apprentissage]],Tableau1[[#This Row],[HTML_specs_col]],Tableau1[[#This Row],[HTML_Execution]],Tableau1[[#This Row],[HTML_Souffle]],Tableau1[[#This Row],[HTML_Concentration]],Tableau1[[#This Row],[HTML_Adrénaline]],Tableau1[[#This Row],[HTML_specs_suffix]],Tableau1[[#This Row],[HTML_effets]],Tableau1[[#This Row],[HTML_suffix]])</f>
        <v>&lt;div class="comp"&gt;&lt;h4 class="nom"&gt;Double coup&lt;/h4&gt;&lt;table class="spec"&gt;&lt;tr&gt;&lt;td class="left"&gt;&lt;span class="profil"&gt;Profil Rapide&lt;/span&gt;&lt;span class="apprentissage"&gt;Apprentissage : &lt;span&gt;Vivacité 20&lt;/span&gt;&lt;/span&gt;&lt;/td&gt;&lt;td class="right"&gt;&lt;p&gt;Exécution : &lt;span&gt;6&lt;/span&gt;&lt;/p&gt;&lt;p&gt;Souffle : &lt;span class="jauge"&gt;2&lt;/span&gt;&lt;/p&gt;&lt;p&gt;Concentration : &lt;span class="jauge"&gt;-&lt;/span&gt;&lt;/p&gt;&lt;/td&gt;&lt;/tr&gt;&lt;/table class=""spec""&gt;&lt;div class="effets"&gt;Le personnage réalise deux attaques consécutives sur la même cible. Ces deux attauqes sont réalisées avec deux armes différentes&lt;/div&gt;&lt;/div&gt;</v>
      </c>
      <c r="AG63" s="8" t="str">
        <f>IF(ISBLANK(Tableau1[[#This Row],[Nom]]),"",IF(B63&lt;&gt;B62,CONCATENATE("&lt;/div&gt;&lt;div class=""voie ",Tableau1[[#This Row],[Caractéristique]],"""&gt;&lt;h3&gt;",Tableau1[[#This Row],[Voie]],"&lt;/h3&gt;",Tableau1[[#This Row],[HTML_ligne]]),Tableau1[[#This Row],[HTML_ligne]]))</f>
        <v>&lt;div class="comp"&gt;&lt;h4 class="nom"&gt;Double coup&lt;/h4&gt;&lt;table class="spec"&gt;&lt;tr&gt;&lt;td class="left"&gt;&lt;span class="profil"&gt;Profil Rapide&lt;/span&gt;&lt;span class="apprentissage"&gt;Apprentissage : &lt;span&gt;Vivacité 20&lt;/span&gt;&lt;/span&gt;&lt;/td&gt;&lt;td class="right"&gt;&lt;p&gt;Exécution : &lt;span&gt;6&lt;/span&gt;&lt;/p&gt;&lt;p&gt;Souffle : &lt;span class="jauge"&gt;2&lt;/span&gt;&lt;/p&gt;&lt;p&gt;Concentration : &lt;span class="jauge"&gt;-&lt;/span&gt;&lt;/p&gt;&lt;/td&gt;&lt;/tr&gt;&lt;/table class=""spec""&gt;&lt;div class="effets"&gt;Le personnage réalise deux attaques consécutives sur la même cible. Ces deux attauqes sont réalisées avec deux armes différentes&lt;/div&gt;&lt;/div&gt;</v>
      </c>
    </row>
    <row r="64" spans="1:33" x14ac:dyDescent="0.25">
      <c r="B64" s="3" t="s">
        <v>144</v>
      </c>
      <c r="C64" s="10">
        <v>1</v>
      </c>
      <c r="D64" s="3" t="s">
        <v>145</v>
      </c>
      <c r="E64" s="4">
        <f>IFERROR(VLOOKUP(Tableau1[[#This Row],[Niveau]],Tableau2[],2,FALSE),"")</f>
        <v>10</v>
      </c>
      <c r="F64" s="3" t="s">
        <v>57</v>
      </c>
      <c r="G64" s="10">
        <v>4</v>
      </c>
      <c r="L64" s="10" t="b">
        <v>1</v>
      </c>
      <c r="M64" s="25" t="s">
        <v>35</v>
      </c>
      <c r="N64" s="4" t="b">
        <f>IF(Tableau1[[#This Row],[Niveau]]=0,TRUE,FALSE)</f>
        <v>0</v>
      </c>
      <c r="O64" s="5" t="s">
        <v>146</v>
      </c>
      <c r="P64" s="3"/>
      <c r="Q64" s="6" t="s">
        <v>65</v>
      </c>
      <c r="R64" s="6" t="str">
        <f>CONCATENATE("&lt;h4 class=""nom""&gt;",Tableau1[[#This Row],[Nom]],"&lt;/h4&gt;")</f>
        <v>&lt;h4 class="nom"&gt;Feinte&lt;/h4&gt;</v>
      </c>
      <c r="S64" s="6" t="s">
        <v>66</v>
      </c>
      <c r="T64" s="6" t="str">
        <f>IF(Tableau1[[#This Row],[Passif ?]],"&lt;span class=""passive""&gt;Action passive&lt;/span&gt;","")</f>
        <v/>
      </c>
      <c r="U64" s="6" t="str">
        <f>IF(ISBLANK(Tableau1[[#This Row],[Profil]]),"",CONCATENATE("&lt;span class=""profil""&gt;Profil ",Tableau1[[#This Row],[Profil]],"&lt;/span&gt;"))</f>
        <v>&lt;span class="profil"&gt;Profil Rapide&lt;/span&gt;</v>
      </c>
      <c r="V64" s="6" t="str">
        <f>IF(Tableau1[[#This Row],[Innée ?]],"&lt;span class=""innee""&gt;Action innée&lt;/span&gt;","")</f>
        <v/>
      </c>
      <c r="W64" s="6" t="str">
        <f>IF(Tableau1[[#This Row],[Niveau]]&gt;0,CONCATENATE("&lt;span class=""apprentissage""&gt;Apprentissage : &lt;span&gt;",Tableau1[[#This Row],[Caractéristique]], " ",Tableau1[[#This Row],[Apprentissage]],"&lt;/span&gt;&lt;/span&gt;"),"")</f>
        <v>&lt;span class="apprentissage"&gt;Apprentissage : &lt;span&gt;Vivacité 10&lt;/span&gt;&lt;/span&gt;</v>
      </c>
      <c r="X64" s="6" t="s">
        <v>67</v>
      </c>
      <c r="Y64" s="6" t="str">
        <f>CONCATENATE("&lt;p&gt;Exécution : &lt;span&gt;", IF(Tableau1[[#This Row],[Exécution]]&gt;0,Tableau1[[#This Row],[Exécution]],"-"), "&lt;/span&gt;&lt;/p&gt;")</f>
        <v>&lt;p&gt;Exécution : &lt;span&gt;4&lt;/span&gt;&lt;/p&gt;</v>
      </c>
      <c r="Z64" s="6" t="str">
        <f>CONCATENATE("&lt;p&gt;Souffle : &lt;span class=""jauge""&gt;", IF(Tableau1[[#This Row],[Souffle]]&gt;0,Tableau1[[#This Row],[Souffle]],"-"), "&lt;/span&gt;&lt;/p&gt;")</f>
        <v>&lt;p&gt;Souffle : &lt;span class="jauge"&gt;-&lt;/span&gt;&lt;/p&gt;</v>
      </c>
      <c r="AA64" s="6" t="str">
        <f>CONCATENATE("&lt;p&gt;Concentration : &lt;span class=""jauge""&gt;",IF(Tableau1[[#This Row],[Concentration]]&gt;0,Tableau1[[#This Row],[Concentration]],"-"), "&lt;/span&gt;&lt;/p&gt;")</f>
        <v>&lt;p&gt;Concentration : &lt;span class="jauge"&gt;-&lt;/span&gt;&lt;/p&gt;</v>
      </c>
      <c r="AB64" s="6" t="str">
        <f>IF(Tableau1[[#This Row],[Adrénaline]]&gt;0,CONCATENATE("&lt;p&gt;Adrénaline : &lt;span class=""jauge""&gt;", Tableau1[[#This Row],[Adrénaline]], "&lt;/span&gt;&lt;/p&gt;"),"")</f>
        <v/>
      </c>
      <c r="AC64" s="6" t="s">
        <v>50</v>
      </c>
      <c r="AD64" s="6" t="str">
        <f>CONCATENATE("&lt;div class=""effets""&gt;",Tableau1[[#This Row],[Effets]],"&lt;/div&gt;")</f>
        <v>&lt;div class="effets"&gt;Le personnage change au dernier moment la trajectoire de son attaque pour tromper son adversaire. Le coup gagne un bonus de +4 en attaque.&lt;/div&gt;</v>
      </c>
      <c r="AE64" s="6" t="s">
        <v>64</v>
      </c>
      <c r="AF64" s="6" t="str">
        <f>CONCATENATE(Tableau1[[#This Row],[HTML_prefix]],Tableau1[[#This Row],[HTML_nom]],Tableau1[[#This Row],[HTML_specs_prefix]],Tableau1[[#This Row],[HTML_passif]],Tableau1[[#This Row],[HTML_profil]],Tableau1[[#This Row],[HTML_innée]],Tableau1[[#This Row],[HTML_apprentissage]],Tableau1[[#This Row],[HTML_specs_col]],Tableau1[[#This Row],[HTML_Execution]],Tableau1[[#This Row],[HTML_Souffle]],Tableau1[[#This Row],[HTML_Concentration]],Tableau1[[#This Row],[HTML_Adrénaline]],Tableau1[[#This Row],[HTML_specs_suffix]],Tableau1[[#This Row],[HTML_effets]],Tableau1[[#This Row],[HTML_suffix]])</f>
        <v>&lt;div class="comp"&gt;&lt;h4 class="nom"&gt;Feinte&lt;/h4&gt;&lt;table class="spec"&gt;&lt;tr&gt;&lt;td class="left"&gt;&lt;span class="profil"&gt;Profil Rapide&lt;/span&gt;&lt;span class="apprentissage"&gt;Apprentissage : &lt;span&gt;Vivacité 10&lt;/span&gt;&lt;/span&gt;&lt;/td&gt;&lt;td class="right"&gt;&lt;p&gt;Exécution : &lt;span&gt;4&lt;/span&gt;&lt;/p&gt;&lt;p&gt;Souffle : &lt;span class="jauge"&gt;-&lt;/span&gt;&lt;/p&gt;&lt;p&gt;Concentration : &lt;span class="jauge"&gt;-&lt;/span&gt;&lt;/p&gt;&lt;/td&gt;&lt;/tr&gt;&lt;/table class=""spec""&gt;&lt;div class="effets"&gt;Le personnage change au dernier moment la trajectoire de son attaque pour tromper son adversaire. Le coup gagne un bonus de +4 en attaque.&lt;/div&gt;&lt;/div&gt;</v>
      </c>
      <c r="AG64" s="8" t="str">
        <f>IF(ISBLANK(Tableau1[[#This Row],[Nom]]),"",IF(B64&lt;&gt;B63,CONCATENATE("&lt;/div&gt;&lt;div class=""voie ",Tableau1[[#This Row],[Caractéristique]],"""&gt;&lt;h3&gt;",Tableau1[[#This Row],[Voie]],"&lt;/h3&gt;",Tableau1[[#This Row],[HTML_ligne]]),Tableau1[[#This Row],[HTML_ligne]]))</f>
        <v>&lt;/div&gt;&lt;div class="voie Vivacité"&gt;&lt;h3&gt;Fourberie&lt;/h3&gt;&lt;div class="comp"&gt;&lt;h4 class="nom"&gt;Feinte&lt;/h4&gt;&lt;table class="spec"&gt;&lt;tr&gt;&lt;td class="left"&gt;&lt;span class="profil"&gt;Profil Rapide&lt;/span&gt;&lt;span class="apprentissage"&gt;Apprentissage : &lt;span&gt;Vivacité 10&lt;/span&gt;&lt;/span&gt;&lt;/td&gt;&lt;td class="right"&gt;&lt;p&gt;Exécution : &lt;span&gt;4&lt;/span&gt;&lt;/p&gt;&lt;p&gt;Souffle : &lt;span class="jauge"&gt;-&lt;/span&gt;&lt;/p&gt;&lt;p&gt;Concentration : &lt;span class="jauge"&gt;-&lt;/span&gt;&lt;/p&gt;&lt;/td&gt;&lt;/tr&gt;&lt;/table class=""spec""&gt;&lt;div class="effets"&gt;Le personnage change au dernier moment la trajectoire de son attaque pour tromper son adversaire. Le coup gagne un bonus de +4 en attaque.&lt;/div&gt;&lt;/div&gt;</v>
      </c>
    </row>
    <row r="65" spans="1:33" ht="30" x14ac:dyDescent="0.25">
      <c r="B65" s="3" t="s">
        <v>144</v>
      </c>
      <c r="C65" s="10">
        <v>2</v>
      </c>
      <c r="D65" s="3" t="s">
        <v>147</v>
      </c>
      <c r="E65" s="4">
        <f>IFERROR(VLOOKUP(Tableau1[[#This Row],[Niveau]],Tableau2[],2,FALSE),"")</f>
        <v>15</v>
      </c>
      <c r="F65" s="3" t="s">
        <v>57</v>
      </c>
      <c r="G65" s="10">
        <v>4</v>
      </c>
      <c r="L65" s="10" t="b">
        <v>1</v>
      </c>
      <c r="M65" s="25" t="s">
        <v>35</v>
      </c>
      <c r="N65" s="4" t="b">
        <f>IF(Tableau1[[#This Row],[Niveau]]=0,TRUE,FALSE)</f>
        <v>0</v>
      </c>
      <c r="O65" s="5" t="s">
        <v>148</v>
      </c>
      <c r="P65" s="3"/>
      <c r="Q65" s="6" t="s">
        <v>65</v>
      </c>
      <c r="R65" s="6" t="str">
        <f>CONCATENATE("&lt;h4 class=""nom""&gt;",Tableau1[[#This Row],[Nom]],"&lt;/h4&gt;")</f>
        <v>&lt;h4 class="nom"&gt;Coup dans le dos&lt;/h4&gt;</v>
      </c>
      <c r="S65" s="6" t="s">
        <v>66</v>
      </c>
      <c r="T65" s="6" t="str">
        <f>IF(Tableau1[[#This Row],[Passif ?]],"&lt;span class=""passive""&gt;Action passive&lt;/span&gt;","")</f>
        <v/>
      </c>
      <c r="U65" s="6" t="str">
        <f>IF(ISBLANK(Tableau1[[#This Row],[Profil]]),"",CONCATENATE("&lt;span class=""profil""&gt;Profil ",Tableau1[[#This Row],[Profil]],"&lt;/span&gt;"))</f>
        <v>&lt;span class="profil"&gt;Profil Rapide&lt;/span&gt;</v>
      </c>
      <c r="V65" s="6" t="str">
        <f>IF(Tableau1[[#This Row],[Innée ?]],"&lt;span class=""innee""&gt;Action innée&lt;/span&gt;","")</f>
        <v/>
      </c>
      <c r="W65" s="6" t="str">
        <f>IF(Tableau1[[#This Row],[Niveau]]&gt;0,CONCATENATE("&lt;span class=""apprentissage""&gt;Apprentissage : &lt;span&gt;",Tableau1[[#This Row],[Caractéristique]], " ",Tableau1[[#This Row],[Apprentissage]],"&lt;/span&gt;&lt;/span&gt;"),"")</f>
        <v>&lt;span class="apprentissage"&gt;Apprentissage : &lt;span&gt;Vivacité 15&lt;/span&gt;&lt;/span&gt;</v>
      </c>
      <c r="X65" s="6" t="s">
        <v>67</v>
      </c>
      <c r="Y65" s="6" t="str">
        <f>CONCATENATE("&lt;p&gt;Exécution : &lt;span&gt;", IF(Tableau1[[#This Row],[Exécution]]&gt;0,Tableau1[[#This Row],[Exécution]],"-"), "&lt;/span&gt;&lt;/p&gt;")</f>
        <v>&lt;p&gt;Exécution : &lt;span&gt;4&lt;/span&gt;&lt;/p&gt;</v>
      </c>
      <c r="Z65" s="6" t="str">
        <f>CONCATENATE("&lt;p&gt;Souffle : &lt;span class=""jauge""&gt;", IF(Tableau1[[#This Row],[Souffle]]&gt;0,Tableau1[[#This Row],[Souffle]],"-"), "&lt;/span&gt;&lt;/p&gt;")</f>
        <v>&lt;p&gt;Souffle : &lt;span class="jauge"&gt;-&lt;/span&gt;&lt;/p&gt;</v>
      </c>
      <c r="AA65" s="6" t="str">
        <f>CONCATENATE("&lt;p&gt;Concentration : &lt;span class=""jauge""&gt;",IF(Tableau1[[#This Row],[Concentration]]&gt;0,Tableau1[[#This Row],[Concentration]],"-"), "&lt;/span&gt;&lt;/p&gt;")</f>
        <v>&lt;p&gt;Concentration : &lt;span class="jauge"&gt;-&lt;/span&gt;&lt;/p&gt;</v>
      </c>
      <c r="AB65" s="6" t="str">
        <f>IF(Tableau1[[#This Row],[Adrénaline]]&gt;0,CONCATENATE("&lt;p&gt;Adrénaline : &lt;span class=""jauge""&gt;", Tableau1[[#This Row],[Adrénaline]], "&lt;/span&gt;&lt;/p&gt;"),"")</f>
        <v/>
      </c>
      <c r="AC65" s="6" t="s">
        <v>50</v>
      </c>
      <c r="AD65" s="6" t="str">
        <f>CONCATENATE("&lt;div class=""effets""&gt;",Tableau1[[#This Row],[Effets]],"&lt;/div&gt;")</f>
        <v>&lt;div class="effets"&gt;Le personnage profite d'une distraction de son adversaire pour amplifier ses dégâts. Chaque niveau dans cette compétence augmente de +1 l'attaque et les dégâts infligés à un ennemi qui vient de réaliser une action de combat ciblé vers un autre personnage&lt;/div&gt;</v>
      </c>
      <c r="AE65" s="6" t="s">
        <v>64</v>
      </c>
      <c r="AF65" s="6" t="str">
        <f>CONCATENATE(Tableau1[[#This Row],[HTML_prefix]],Tableau1[[#This Row],[HTML_nom]],Tableau1[[#This Row],[HTML_specs_prefix]],Tableau1[[#This Row],[HTML_passif]],Tableau1[[#This Row],[HTML_profil]],Tableau1[[#This Row],[HTML_innée]],Tableau1[[#This Row],[HTML_apprentissage]],Tableau1[[#This Row],[HTML_specs_col]],Tableau1[[#This Row],[HTML_Execution]],Tableau1[[#This Row],[HTML_Souffle]],Tableau1[[#This Row],[HTML_Concentration]],Tableau1[[#This Row],[HTML_Adrénaline]],Tableau1[[#This Row],[HTML_specs_suffix]],Tableau1[[#This Row],[HTML_effets]],Tableau1[[#This Row],[HTML_suffix]])</f>
        <v>&lt;div class="comp"&gt;&lt;h4 class="nom"&gt;Coup dans le dos&lt;/h4&gt;&lt;table class="spec"&gt;&lt;tr&gt;&lt;td class="left"&gt;&lt;span class="profil"&gt;Profil Rapide&lt;/span&gt;&lt;span class="apprentissage"&gt;Apprentissage : &lt;span&gt;Vivacité 15&lt;/span&gt;&lt;/span&gt;&lt;/td&gt;&lt;td class="right"&gt;&lt;p&gt;Exécution : &lt;span&gt;4&lt;/span&gt;&lt;/p&gt;&lt;p&gt;Souffle : &lt;span class="jauge"&gt;-&lt;/span&gt;&lt;/p&gt;&lt;p&gt;Concentration : &lt;span class="jauge"&gt;-&lt;/span&gt;&lt;/p&gt;&lt;/td&gt;&lt;/tr&gt;&lt;/table class=""spec""&gt;&lt;div class="effets"&gt;Le personnage profite d'une distraction de son adversaire pour amplifier ses dégâts. Chaque niveau dans cette compétence augmente de +1 l'attaque et les dégâts infligés à un ennemi qui vient de réaliser une action de combat ciblé vers un autre personnage&lt;/div&gt;&lt;/div&gt;</v>
      </c>
      <c r="AG65" s="8" t="str">
        <f>IF(ISBLANK(Tableau1[[#This Row],[Nom]]),"",IF(B65&lt;&gt;B64,CONCATENATE("&lt;/div&gt;&lt;div class=""voie ",Tableau1[[#This Row],[Caractéristique]],"""&gt;&lt;h3&gt;",Tableau1[[#This Row],[Voie]],"&lt;/h3&gt;",Tableau1[[#This Row],[HTML_ligne]]),Tableau1[[#This Row],[HTML_ligne]]))</f>
        <v>&lt;div class="comp"&gt;&lt;h4 class="nom"&gt;Coup dans le dos&lt;/h4&gt;&lt;table class="spec"&gt;&lt;tr&gt;&lt;td class="left"&gt;&lt;span class="profil"&gt;Profil Rapide&lt;/span&gt;&lt;span class="apprentissage"&gt;Apprentissage : &lt;span&gt;Vivacité 15&lt;/span&gt;&lt;/span&gt;&lt;/td&gt;&lt;td class="right"&gt;&lt;p&gt;Exécution : &lt;span&gt;4&lt;/span&gt;&lt;/p&gt;&lt;p&gt;Souffle : &lt;span class="jauge"&gt;-&lt;/span&gt;&lt;/p&gt;&lt;p&gt;Concentration : &lt;span class="jauge"&gt;-&lt;/span&gt;&lt;/p&gt;&lt;/td&gt;&lt;/tr&gt;&lt;/table class=""spec""&gt;&lt;div class="effets"&gt;Le personnage profite d'une distraction de son adversaire pour amplifier ses dégâts. Chaque niveau dans cette compétence augmente de +1 l'attaque et les dégâts infligés à un ennemi qui vient de réaliser une action de combat ciblé vers un autre personnage&lt;/div&gt;&lt;/div&gt;</v>
      </c>
    </row>
    <row r="66" spans="1:33" ht="30" x14ac:dyDescent="0.25">
      <c r="B66" s="3" t="s">
        <v>83</v>
      </c>
      <c r="C66" s="10">
        <v>2</v>
      </c>
      <c r="D66" s="3" t="s">
        <v>84</v>
      </c>
      <c r="E66" s="4">
        <f>IFERROR(VLOOKUP(Tableau1[[#This Row],[Niveau]],Tableau2[],2,FALSE),"")</f>
        <v>15</v>
      </c>
      <c r="F66" s="3" t="s">
        <v>57</v>
      </c>
      <c r="G66" s="10">
        <v>3</v>
      </c>
      <c r="I66" s="10">
        <v>1</v>
      </c>
      <c r="L66" s="10" t="b">
        <v>1</v>
      </c>
      <c r="M66" s="25" t="s">
        <v>35</v>
      </c>
      <c r="N66" s="4" t="b">
        <f>IF(Tableau1[[#This Row],[Niveau]]=0,TRUE,FALSE)</f>
        <v>0</v>
      </c>
      <c r="O66" s="5" t="s">
        <v>85</v>
      </c>
      <c r="P66" s="3"/>
      <c r="Q66" s="6" t="s">
        <v>65</v>
      </c>
      <c r="R66" s="6" t="str">
        <f>CONCATENATE("&lt;h4 class=""nom""&gt;",Tableau1[[#This Row],[Nom]],"&lt;/h4&gt;")</f>
        <v>&lt;h4 class="nom"&gt;Attaque d'opportunité&lt;/h4&gt;</v>
      </c>
      <c r="S66" s="6" t="s">
        <v>66</v>
      </c>
      <c r="T66" s="6" t="str">
        <f>IF(Tableau1[[#This Row],[Passif ?]],"&lt;span class=""passive""&gt;Action passive&lt;/span&gt;","")</f>
        <v/>
      </c>
      <c r="U66" s="6" t="str">
        <f>IF(ISBLANK(Tableau1[[#This Row],[Profil]]),"",CONCATENATE("&lt;span class=""profil""&gt;Profil ",Tableau1[[#This Row],[Profil]],"&lt;/span&gt;"))</f>
        <v>&lt;span class="profil"&gt;Profil Rapide&lt;/span&gt;</v>
      </c>
      <c r="V66" s="6" t="str">
        <f>IF(Tableau1[[#This Row],[Innée ?]],"&lt;span class=""innee""&gt;Action innée&lt;/span&gt;","")</f>
        <v/>
      </c>
      <c r="W66" s="6" t="str">
        <f>IF(Tableau1[[#This Row],[Niveau]]&gt;0,CONCATENATE("&lt;span class=""apprentissage""&gt;Apprentissage : &lt;span&gt;",Tableau1[[#This Row],[Caractéristique]], " ",Tableau1[[#This Row],[Apprentissage]],"&lt;/span&gt;&lt;/span&gt;"),"")</f>
        <v>&lt;span class="apprentissage"&gt;Apprentissage : &lt;span&gt;Vivacité 15&lt;/span&gt;&lt;/span&gt;</v>
      </c>
      <c r="X66" s="6" t="s">
        <v>67</v>
      </c>
      <c r="Y66" s="6" t="str">
        <f>CONCATENATE("&lt;p&gt;Exécution : &lt;span&gt;", IF(Tableau1[[#This Row],[Exécution]]&gt;0,Tableau1[[#This Row],[Exécution]],"-"), "&lt;/span&gt;&lt;/p&gt;")</f>
        <v>&lt;p&gt;Exécution : &lt;span&gt;3&lt;/span&gt;&lt;/p&gt;</v>
      </c>
      <c r="Z66" s="6" t="str">
        <f>CONCATENATE("&lt;p&gt;Souffle : &lt;span class=""jauge""&gt;", IF(Tableau1[[#This Row],[Souffle]]&gt;0,Tableau1[[#This Row],[Souffle]],"-"), "&lt;/span&gt;&lt;/p&gt;")</f>
        <v>&lt;p&gt;Souffle : &lt;span class="jauge"&gt;-&lt;/span&gt;&lt;/p&gt;</v>
      </c>
      <c r="AA66" s="6" t="str">
        <f>CONCATENATE("&lt;p&gt;Concentration : &lt;span class=""jauge""&gt;",IF(Tableau1[[#This Row],[Concentration]]&gt;0,Tableau1[[#This Row],[Concentration]],"-"), "&lt;/span&gt;&lt;/p&gt;")</f>
        <v>&lt;p&gt;Concentration : &lt;span class="jauge"&gt;1&lt;/span&gt;&lt;/p&gt;</v>
      </c>
      <c r="AB66" s="6" t="str">
        <f>IF(Tableau1[[#This Row],[Adrénaline]]&gt;0,CONCATENATE("&lt;p&gt;Adrénaline : &lt;span class=""jauge""&gt;", Tableau1[[#This Row],[Adrénaline]], "&lt;/span&gt;&lt;/p&gt;"),"")</f>
        <v/>
      </c>
      <c r="AC66" s="6" t="s">
        <v>50</v>
      </c>
      <c r="AD66" s="6" t="str">
        <f>CONCATENATE("&lt;div class=""effets""&gt;",Tableau1[[#This Row],[Effets]],"&lt;/div&gt;")</f>
        <v>&lt;div class="effets"&gt;Lorsqu'un adversaire à portée réalise une action autre qu'une action de combat, le personnage peut placer une attaque sans réponse possible. La cible ne peut pas la défendre (ni parade, ni esquive) mais ne doit pas réaliser de test de &lt;span class="jauge"&gt;Bravoure&lt;/span&gt; non plus. &lt;/div&gt;</v>
      </c>
      <c r="AE66" s="6" t="s">
        <v>64</v>
      </c>
      <c r="AF66" s="6" t="str">
        <f>CONCATENATE(Tableau1[[#This Row],[HTML_prefix]],Tableau1[[#This Row],[HTML_nom]],Tableau1[[#This Row],[HTML_specs_prefix]],Tableau1[[#This Row],[HTML_passif]],Tableau1[[#This Row],[HTML_profil]],Tableau1[[#This Row],[HTML_innée]],Tableau1[[#This Row],[HTML_apprentissage]],Tableau1[[#This Row],[HTML_specs_col]],Tableau1[[#This Row],[HTML_Execution]],Tableau1[[#This Row],[HTML_Souffle]],Tableau1[[#This Row],[HTML_Concentration]],Tableau1[[#This Row],[HTML_Adrénaline]],Tableau1[[#This Row],[HTML_specs_suffix]],Tableau1[[#This Row],[HTML_effets]],Tableau1[[#This Row],[HTML_suffix]])</f>
        <v>&lt;div class="comp"&gt;&lt;h4 class="nom"&gt;Attaque d'opportunité&lt;/h4&gt;&lt;table class="spec"&gt;&lt;tr&gt;&lt;td class="left"&gt;&lt;span class="profil"&gt;Profil Rapide&lt;/span&gt;&lt;span class="apprentissage"&gt;Apprentissage : &lt;span&gt;Vivacité 15&lt;/span&gt;&lt;/span&gt;&lt;/td&gt;&lt;td class="right"&gt;&lt;p&gt;Exécution : &lt;span&gt;3&lt;/span&gt;&lt;/p&gt;&lt;p&gt;Souffle : &lt;span class="jauge"&gt;-&lt;/span&gt;&lt;/p&gt;&lt;p&gt;Concentration : &lt;span class="jauge"&gt;1&lt;/span&gt;&lt;/p&gt;&lt;/td&gt;&lt;/tr&gt;&lt;/table class=""spec""&gt;&lt;div class="effets"&gt;Lorsqu'un adversaire à portée réalise une action autre qu'une action de combat, le personnage peut placer une attaque sans réponse possible. La cible ne peut pas la défendre (ni parade, ni esquive) mais ne doit pas réaliser de test de &lt;span class="jauge"&gt;Bravoure&lt;/span&gt; non plus. &lt;/div&gt;&lt;/div&gt;</v>
      </c>
      <c r="AG66" s="8" t="str">
        <f>IF(ISBLANK(Tableau1[[#This Row],[Nom]]),"",IF(B66&lt;&gt;B65,CONCATENATE("&lt;/div&gt;&lt;div class=""voie ",Tableau1[[#This Row],[Caractéristique]],"""&gt;&lt;h3&gt;",Tableau1[[#This Row],[Voie]],"&lt;/h3&gt;",Tableau1[[#This Row],[HTML_ligne]]),Tableau1[[#This Row],[HTML_ligne]]))</f>
        <v>&lt;/div&gt;&lt;div class="voie Vivacité"&gt;&lt;h3&gt;Interception&lt;/h3&gt;&lt;div class="comp"&gt;&lt;h4 class="nom"&gt;Attaque d'opportunité&lt;/h4&gt;&lt;table class="spec"&gt;&lt;tr&gt;&lt;td class="left"&gt;&lt;span class="profil"&gt;Profil Rapide&lt;/span&gt;&lt;span class="apprentissage"&gt;Apprentissage : &lt;span&gt;Vivacité 15&lt;/span&gt;&lt;/span&gt;&lt;/td&gt;&lt;td class="right"&gt;&lt;p&gt;Exécution : &lt;span&gt;3&lt;/span&gt;&lt;/p&gt;&lt;p&gt;Souffle : &lt;span class="jauge"&gt;-&lt;/span&gt;&lt;/p&gt;&lt;p&gt;Concentration : &lt;span class="jauge"&gt;1&lt;/span&gt;&lt;/p&gt;&lt;/td&gt;&lt;/tr&gt;&lt;/table class=""spec""&gt;&lt;div class="effets"&gt;Lorsqu'un adversaire à portée réalise une action autre qu'une action de combat, le personnage peut placer une attaque sans réponse possible. La cible ne peut pas la défendre (ni parade, ni esquive) mais ne doit pas réaliser de test de &lt;span class="jauge"&gt;Bravoure&lt;/span&gt; non plus. &lt;/div&gt;&lt;/div&gt;</v>
      </c>
    </row>
    <row r="67" spans="1:33" ht="45" x14ac:dyDescent="0.25">
      <c r="B67" s="3" t="s">
        <v>83</v>
      </c>
      <c r="C67" s="10">
        <v>2</v>
      </c>
      <c r="D67" s="3" t="s">
        <v>93</v>
      </c>
      <c r="E67" s="4">
        <f>IFERROR(VLOOKUP(Tableau1[[#This Row],[Niveau]],Tableau2[],2,FALSE),"")</f>
        <v>15</v>
      </c>
      <c r="F67" s="3" t="s">
        <v>57</v>
      </c>
      <c r="K67" s="10" t="b">
        <v>1</v>
      </c>
      <c r="N67" s="4" t="b">
        <f>IF(Tableau1[[#This Row],[Niveau]]=0,TRUE,FALSE)</f>
        <v>0</v>
      </c>
      <c r="O67" s="5" t="s">
        <v>141</v>
      </c>
      <c r="P67" s="3"/>
      <c r="Q67" s="6" t="s">
        <v>65</v>
      </c>
      <c r="R67" s="6" t="str">
        <f>CONCATENATE("&lt;h4 class=""nom""&gt;",Tableau1[[#This Row],[Nom]],"&lt;/h4&gt;")</f>
        <v>&lt;h4 class="nom"&gt;Contre-attaque&lt;/h4&gt;</v>
      </c>
      <c r="S67" s="6" t="s">
        <v>66</v>
      </c>
      <c r="T67" s="6" t="str">
        <f>IF(Tableau1[[#This Row],[Passif ?]],"&lt;span class=""passive""&gt;Action passive&lt;/span&gt;","")</f>
        <v>&lt;span class="passive"&gt;Action passive&lt;/span&gt;</v>
      </c>
      <c r="U67" s="6" t="str">
        <f>IF(ISBLANK(Tableau1[[#This Row],[Profil]]),"",CONCATENATE("&lt;span class=""profil""&gt;Profil ",Tableau1[[#This Row],[Profil]],"&lt;/span&gt;"))</f>
        <v/>
      </c>
      <c r="V67" s="6" t="str">
        <f>IF(Tableau1[[#This Row],[Innée ?]],"&lt;span class=""innee""&gt;Action innée&lt;/span&gt;","")</f>
        <v/>
      </c>
      <c r="W67" s="6" t="str">
        <f>IF(Tableau1[[#This Row],[Niveau]]&gt;0,CONCATENATE("&lt;span class=""apprentissage""&gt;Apprentissage : &lt;span&gt;",Tableau1[[#This Row],[Caractéristique]], " ",Tableau1[[#This Row],[Apprentissage]],"&lt;/span&gt;&lt;/span&gt;"),"")</f>
        <v>&lt;span class="apprentissage"&gt;Apprentissage : &lt;span&gt;Vivacité 15&lt;/span&gt;&lt;/span&gt;</v>
      </c>
      <c r="X67" s="6" t="s">
        <v>67</v>
      </c>
      <c r="Y67" s="6" t="str">
        <f>CONCATENATE("&lt;p&gt;Exécution : &lt;span&gt;", IF(Tableau1[[#This Row],[Exécution]]&gt;0,Tableau1[[#This Row],[Exécution]],"-"), "&lt;/span&gt;&lt;/p&gt;")</f>
        <v>&lt;p&gt;Exécution : &lt;span&gt;-&lt;/span&gt;&lt;/p&gt;</v>
      </c>
      <c r="Z67" s="6" t="str">
        <f>CONCATENATE("&lt;p&gt;Souffle : &lt;span class=""jauge""&gt;", IF(Tableau1[[#This Row],[Souffle]]&gt;0,Tableau1[[#This Row],[Souffle]],"-"), "&lt;/span&gt;&lt;/p&gt;")</f>
        <v>&lt;p&gt;Souffle : &lt;span class="jauge"&gt;-&lt;/span&gt;&lt;/p&gt;</v>
      </c>
      <c r="AA67" s="6" t="str">
        <f>CONCATENATE("&lt;p&gt;Concentration : &lt;span class=""jauge""&gt;",IF(Tableau1[[#This Row],[Concentration]]&gt;0,Tableau1[[#This Row],[Concentration]],"-"), "&lt;/span&gt;&lt;/p&gt;")</f>
        <v>&lt;p&gt;Concentration : &lt;span class="jauge"&gt;-&lt;/span&gt;&lt;/p&gt;</v>
      </c>
      <c r="AB67" s="6" t="str">
        <f>IF(Tableau1[[#This Row],[Adrénaline]]&gt;0,CONCATENATE("&lt;p&gt;Adrénaline : &lt;span class=""jauge""&gt;", Tableau1[[#This Row],[Adrénaline]], "&lt;/span&gt;&lt;/p&gt;"),"")</f>
        <v/>
      </c>
      <c r="AC67" s="6" t="s">
        <v>50</v>
      </c>
      <c r="AD67" s="6" t="str">
        <f>CONCATENATE("&lt;div class=""effets""&gt;",Tableau1[[#This Row],[Effets]],"&lt;/div&gt;")</f>
        <v>&lt;div class="effets"&gt;Avant de tenter une parade ou une esquive, le personnage annonce qu'il va contre-attaquer. Si la défense (subissant un malus de -5) est réussie, il pourra enchainer sur un coup rapide. Le temps total de l'action sera alors égal à la &lt;span class="stat"&gt;Réactivité&lt;/span&gt; du personnage + temps d'exécution de la défense + temps d'exécution du coup rapide.&lt;/div&gt;</v>
      </c>
      <c r="AE67" s="6" t="s">
        <v>64</v>
      </c>
      <c r="AF67" s="6" t="str">
        <f>CONCATENATE(Tableau1[[#This Row],[HTML_prefix]],Tableau1[[#This Row],[HTML_nom]],Tableau1[[#This Row],[HTML_specs_prefix]],Tableau1[[#This Row],[HTML_passif]],Tableau1[[#This Row],[HTML_profil]],Tableau1[[#This Row],[HTML_innée]],Tableau1[[#This Row],[HTML_apprentissage]],Tableau1[[#This Row],[HTML_specs_col]],Tableau1[[#This Row],[HTML_Execution]],Tableau1[[#This Row],[HTML_Souffle]],Tableau1[[#This Row],[HTML_Concentration]],Tableau1[[#This Row],[HTML_Adrénaline]],Tableau1[[#This Row],[HTML_specs_suffix]],Tableau1[[#This Row],[HTML_effets]],Tableau1[[#This Row],[HTML_suffix]])</f>
        <v>&lt;div class="comp"&gt;&lt;h4 class="nom"&gt;Contre-attaque&lt;/h4&gt;&lt;table class="spec"&gt;&lt;tr&gt;&lt;td class="left"&gt;&lt;span class="passive"&gt;Action passive&lt;/span&gt;&lt;span class="apprentissage"&gt;Apprentissage : &lt;span&gt;Vivacité 15&lt;/span&gt;&lt;/span&gt;&lt;/td&gt;&lt;td class="right"&gt;&lt;p&gt;Exécution : &lt;span&gt;-&lt;/span&gt;&lt;/p&gt;&lt;p&gt;Souffle : &lt;span class="jauge"&gt;-&lt;/span&gt;&lt;/p&gt;&lt;p&gt;Concentration : &lt;span class="jauge"&gt;-&lt;/span&gt;&lt;/p&gt;&lt;/td&gt;&lt;/tr&gt;&lt;/table class=""spec""&gt;&lt;div class="effets"&gt;Avant de tenter une parade ou une esquive, le personnage annonce qu'il va contre-attaquer. Si la défense (subissant un malus de -5) est réussie, il pourra enchainer sur un coup rapide. Le temps total de l'action sera alors égal à la &lt;span class="stat"&gt;Réactivité&lt;/span&gt; du personnage + temps d'exécution de la défense + temps d'exécution du coup rapide.&lt;/div&gt;&lt;/div&gt;</v>
      </c>
      <c r="AG67" s="8" t="str">
        <f>IF(ISBLANK(Tableau1[[#This Row],[Nom]]),"",IF(B67&lt;&gt;B66,CONCATENATE("&lt;/div&gt;&lt;div class=""voie ",Tableau1[[#This Row],[Caractéristique]],"""&gt;&lt;h3&gt;",Tableau1[[#This Row],[Voie]],"&lt;/h3&gt;",Tableau1[[#This Row],[HTML_ligne]]),Tableau1[[#This Row],[HTML_ligne]]))</f>
        <v>&lt;div class="comp"&gt;&lt;h4 class="nom"&gt;Contre-attaque&lt;/h4&gt;&lt;table class="spec"&gt;&lt;tr&gt;&lt;td class="left"&gt;&lt;span class="passive"&gt;Action passive&lt;/span&gt;&lt;span class="apprentissage"&gt;Apprentissage : &lt;span&gt;Vivacité 15&lt;/span&gt;&lt;/span&gt;&lt;/td&gt;&lt;td class="right"&gt;&lt;p&gt;Exécution : &lt;span&gt;-&lt;/span&gt;&lt;/p&gt;&lt;p&gt;Souffle : &lt;span class="jauge"&gt;-&lt;/span&gt;&lt;/p&gt;&lt;p&gt;Concentration : &lt;span class="jauge"&gt;-&lt;/span&gt;&lt;/p&gt;&lt;/td&gt;&lt;/tr&gt;&lt;/table class=""spec""&gt;&lt;div class="effets"&gt;Avant de tenter une parade ou une esquive, le personnage annonce qu'il va contre-attaquer. Si la défense (subissant un malus de -5) est réussie, il pourra enchainer sur un coup rapide. Le temps total de l'action sera alors égal à la &lt;span class="stat"&gt;Réactivité&lt;/span&gt; du personnage + temps d'exécution de la défense + temps d'exécution du coup rapide.&lt;/div&gt;&lt;/div&gt;</v>
      </c>
    </row>
    <row r="68" spans="1:33" ht="60" x14ac:dyDescent="0.25">
      <c r="B68" s="3" t="s">
        <v>115</v>
      </c>
      <c r="C68" s="10">
        <v>1</v>
      </c>
      <c r="D68" s="3" t="s">
        <v>116</v>
      </c>
      <c r="E68" s="4">
        <f>IFERROR(VLOOKUP(Tableau1[[#This Row],[Niveau]],Tableau2[],2,FALSE),"")</f>
        <v>10</v>
      </c>
      <c r="F68" s="3" t="s">
        <v>58</v>
      </c>
      <c r="K68" s="10" t="b">
        <v>1</v>
      </c>
      <c r="N68" s="4" t="b">
        <f>IF(Tableau1[[#This Row],[Niveau]]=0,TRUE,FALSE)</f>
        <v>0</v>
      </c>
      <c r="O68" s="5" t="s">
        <v>123</v>
      </c>
      <c r="P68" s="3"/>
      <c r="Q68" s="6" t="s">
        <v>65</v>
      </c>
      <c r="R68" s="6" t="str">
        <f>CONCATENATE("&lt;h4 class=""nom""&gt;",Tableau1[[#This Row],[Nom]],"&lt;/h4&gt;")</f>
        <v>&lt;h4 class="nom"&gt;Maitrise de l'arme&lt;/h4&gt;</v>
      </c>
      <c r="S68" s="6" t="s">
        <v>66</v>
      </c>
      <c r="T68" s="6" t="str">
        <f>IF(Tableau1[[#This Row],[Passif ?]],"&lt;span class=""passive""&gt;Action passive&lt;/span&gt;","")</f>
        <v>&lt;span class="passive"&gt;Action passive&lt;/span&gt;</v>
      </c>
      <c r="U68" s="6" t="str">
        <f>IF(ISBLANK(Tableau1[[#This Row],[Profil]]),"",CONCATENATE("&lt;span class=""profil""&gt;Profil ",Tableau1[[#This Row],[Profil]],"&lt;/span&gt;"))</f>
        <v/>
      </c>
      <c r="V68" s="6" t="str">
        <f>IF(Tableau1[[#This Row],[Innée ?]],"&lt;span class=""innee""&gt;Action innée&lt;/span&gt;","")</f>
        <v/>
      </c>
      <c r="W68" s="6" t="str">
        <f>IF(Tableau1[[#This Row],[Niveau]]&gt;0,CONCATENATE("&lt;span class=""apprentissage""&gt;Apprentissage : &lt;span&gt;",Tableau1[[#This Row],[Caractéristique]], " ",Tableau1[[#This Row],[Apprentissage]],"&lt;/span&gt;&lt;/span&gt;"),"")</f>
        <v>&lt;span class="apprentissage"&gt;Apprentissage : &lt;span&gt;Adresse 10&lt;/span&gt;&lt;/span&gt;</v>
      </c>
      <c r="X68" s="6" t="s">
        <v>67</v>
      </c>
      <c r="Y68" s="6" t="str">
        <f>CONCATENATE("&lt;p&gt;Exécution : &lt;span&gt;", IF(Tableau1[[#This Row],[Exécution]]&gt;0,Tableau1[[#This Row],[Exécution]],"-"), "&lt;/span&gt;&lt;/p&gt;")</f>
        <v>&lt;p&gt;Exécution : &lt;span&gt;-&lt;/span&gt;&lt;/p&gt;</v>
      </c>
      <c r="Z68" s="6" t="str">
        <f>CONCATENATE("&lt;p&gt;Souffle : &lt;span class=""jauge""&gt;", IF(Tableau1[[#This Row],[Souffle]]&gt;0,Tableau1[[#This Row],[Souffle]],"-"), "&lt;/span&gt;&lt;/p&gt;")</f>
        <v>&lt;p&gt;Souffle : &lt;span class="jauge"&gt;-&lt;/span&gt;&lt;/p&gt;</v>
      </c>
      <c r="AA68" s="6" t="str">
        <f>CONCATENATE("&lt;p&gt;Concentration : &lt;span class=""jauge""&gt;",IF(Tableau1[[#This Row],[Concentration]]&gt;0,Tableau1[[#This Row],[Concentration]],"-"), "&lt;/span&gt;&lt;/p&gt;")</f>
        <v>&lt;p&gt;Concentration : &lt;span class="jauge"&gt;-&lt;/span&gt;&lt;/p&gt;</v>
      </c>
      <c r="AB68" s="6" t="str">
        <f>IF(Tableau1[[#This Row],[Adrénaline]]&gt;0,CONCATENATE("&lt;p&gt;Adrénaline : &lt;span class=""jauge""&gt;", Tableau1[[#This Row],[Adrénaline]], "&lt;/span&gt;&lt;/p&gt;"),"")</f>
        <v/>
      </c>
      <c r="AC68" s="6" t="s">
        <v>50</v>
      </c>
      <c r="AD68" s="6" t="str">
        <f>CONCATENATE("&lt;div class=""effets""&gt;",Tableau1[[#This Row],[Effets]],"&lt;/div&gt;")</f>
        <v>&lt;div class="effets"&gt;Le personnage choisit une arme (dague, arc long, ...) qu'il va maitriser au maximum. Il gagne un bonus de +1 aux dégâts lorsqu'il qu'il utilise cette arme. De plus il peut s'entrainer à raison de séances d'une heure minimum pour continuer son amélioration. Une heure d'entrainement génère 1 point de &lt;span class="jauge"&gt;Fatigue&lt;/span&gt;. Au bout de 5h d'entrainement, le personnage gagne également +1 à ses jets d'attaque réalisés avec cette arme. A chaque fois que le personnage améliore cette compétence, il peut bénéficier de ces 2 points d'amélioration.&lt;/div&gt;</v>
      </c>
      <c r="AE68" s="6" t="s">
        <v>64</v>
      </c>
      <c r="AF68" s="6" t="str">
        <f>CONCATENATE(Tableau1[[#This Row],[HTML_prefix]],Tableau1[[#This Row],[HTML_nom]],Tableau1[[#This Row],[HTML_specs_prefix]],Tableau1[[#This Row],[HTML_passif]],Tableau1[[#This Row],[HTML_profil]],Tableau1[[#This Row],[HTML_innée]],Tableau1[[#This Row],[HTML_apprentissage]],Tableau1[[#This Row],[HTML_specs_col]],Tableau1[[#This Row],[HTML_Execution]],Tableau1[[#This Row],[HTML_Souffle]],Tableau1[[#This Row],[HTML_Concentration]],Tableau1[[#This Row],[HTML_Adrénaline]],Tableau1[[#This Row],[HTML_specs_suffix]],Tableau1[[#This Row],[HTML_effets]],Tableau1[[#This Row],[HTML_suffix]])</f>
        <v>&lt;div class="comp"&gt;&lt;h4 class="nom"&gt;Maitrise de l'arme&lt;/h4&gt;&lt;table class="spec"&gt;&lt;tr&gt;&lt;td class="left"&gt;&lt;span class="passive"&gt;Action passive&lt;/span&gt;&lt;span class="apprentissage"&gt;Apprentissage : &lt;span&gt;Adresse 10&lt;/span&gt;&lt;/span&gt;&lt;/td&gt;&lt;td class="right"&gt;&lt;p&gt;Exécution : &lt;span&gt;-&lt;/span&gt;&lt;/p&gt;&lt;p&gt;Souffle : &lt;span class="jauge"&gt;-&lt;/span&gt;&lt;/p&gt;&lt;p&gt;Concentration : &lt;span class="jauge"&gt;-&lt;/span&gt;&lt;/p&gt;&lt;/td&gt;&lt;/tr&gt;&lt;/table class=""spec""&gt;&lt;div class="effets"&gt;Le personnage choisit une arme (dague, arc long, ...) qu'il va maitriser au maximum. Il gagne un bonus de +1 aux dégâts lorsqu'il qu'il utilise cette arme. De plus il peut s'entrainer à raison de séances d'une heure minimum pour continuer son amélioration. Une heure d'entrainement génère 1 point de &lt;span class="jauge"&gt;Fatigue&lt;/span&gt;. Au bout de 5h d'entrainement, le personnage gagne également +1 à ses jets d'attaque réalisés avec cette arme. A chaque fois que le personnage améliore cette compétence, il peut bénéficier de ces 2 points d'amélioration.&lt;/div&gt;&lt;/div&gt;</v>
      </c>
      <c r="AG68" s="8" t="str">
        <f>IF(ISBLANK(Tableau1[[#This Row],[Nom]]),"",IF(B68&lt;&gt;B67,CONCATENATE("&lt;/div&gt;&lt;div class=""voie ",Tableau1[[#This Row],[Caractéristique]],"""&gt;&lt;h3&gt;",Tableau1[[#This Row],[Voie]],"&lt;/h3&gt;",Tableau1[[#This Row],[HTML_ligne]]),Tableau1[[#This Row],[HTML_ligne]]))</f>
        <v>&lt;/div&gt;&lt;div class="voie Adresse"&gt;&lt;h3&gt;Maitre d'arme&lt;/h3&gt;&lt;div class="comp"&gt;&lt;h4 class="nom"&gt;Maitrise de l'arme&lt;/h4&gt;&lt;table class="spec"&gt;&lt;tr&gt;&lt;td class="left"&gt;&lt;span class="passive"&gt;Action passive&lt;/span&gt;&lt;span class="apprentissage"&gt;Apprentissage : &lt;span&gt;Adresse 10&lt;/span&gt;&lt;/span&gt;&lt;/td&gt;&lt;td class="right"&gt;&lt;p&gt;Exécution : &lt;span&gt;-&lt;/span&gt;&lt;/p&gt;&lt;p&gt;Souffle : &lt;span class="jauge"&gt;-&lt;/span&gt;&lt;/p&gt;&lt;p&gt;Concentration : &lt;span class="jauge"&gt;-&lt;/span&gt;&lt;/p&gt;&lt;/td&gt;&lt;/tr&gt;&lt;/table class=""spec""&gt;&lt;div class="effets"&gt;Le personnage choisit une arme (dague, arc long, ...) qu'il va maitriser au maximum. Il gagne un bonus de +1 aux dégâts lorsqu'il qu'il utilise cette arme. De plus il peut s'entrainer à raison de séances d'une heure minimum pour continuer son amélioration. Une heure d'entrainement génère 1 point de &lt;span class="jauge"&gt;Fatigue&lt;/span&gt;. Au bout de 5h d'entrainement, le personnage gagne également +1 à ses jets d'attaque réalisés avec cette arme. A chaque fois que le personnage améliore cette compétence, il peut bénéficier de ces 2 points d'amélioration.&lt;/div&gt;&lt;/div&gt;</v>
      </c>
    </row>
    <row r="69" spans="1:33" x14ac:dyDescent="0.25">
      <c r="B69" s="3" t="s">
        <v>115</v>
      </c>
      <c r="C69" s="10">
        <v>1</v>
      </c>
      <c r="D69" s="3" t="s">
        <v>160</v>
      </c>
      <c r="E69" s="4">
        <f>IFERROR(VLOOKUP(Tableau1[[#This Row],[Niveau]],Tableau2[],2,FALSE),"")</f>
        <v>10</v>
      </c>
      <c r="F69" s="3" t="s">
        <v>58</v>
      </c>
      <c r="G69" s="10">
        <v>5</v>
      </c>
      <c r="L69" s="10" t="b">
        <v>1</v>
      </c>
      <c r="M69" s="25" t="s">
        <v>37</v>
      </c>
      <c r="N69" s="4" t="b">
        <f>IF(Tableau1[[#This Row],[Niveau]]=0,TRUE,FALSE)</f>
        <v>0</v>
      </c>
      <c r="O69" s="5" t="s">
        <v>161</v>
      </c>
      <c r="P69" s="3"/>
      <c r="Q69" s="6" t="s">
        <v>65</v>
      </c>
      <c r="R69" s="6" t="str">
        <f>CONCATENATE("&lt;h4 class=""nom""&gt;",Tableau1[[#This Row],[Nom]],"&lt;/h4&gt;")</f>
        <v>&lt;h4 class="nom"&gt;Frappe économe&lt;/h4&gt;</v>
      </c>
      <c r="S69" s="6" t="s">
        <v>66</v>
      </c>
      <c r="T69" s="6" t="str">
        <f>IF(Tableau1[[#This Row],[Passif ?]],"&lt;span class=""passive""&gt;Action passive&lt;/span&gt;","")</f>
        <v/>
      </c>
      <c r="U69" s="6" t="str">
        <f>IF(ISBLANK(Tableau1[[#This Row],[Profil]]),"",CONCATENATE("&lt;span class=""profil""&gt;Profil ",Tableau1[[#This Row],[Profil]],"&lt;/span&gt;"))</f>
        <v>&lt;span class="profil"&gt;Profil Précis&lt;/span&gt;</v>
      </c>
      <c r="V69" s="6" t="str">
        <f>IF(Tableau1[[#This Row],[Innée ?]],"&lt;span class=""innee""&gt;Action innée&lt;/span&gt;","")</f>
        <v/>
      </c>
      <c r="W69" s="6" t="str">
        <f>IF(Tableau1[[#This Row],[Niveau]]&gt;0,CONCATENATE("&lt;span class=""apprentissage""&gt;Apprentissage : &lt;span&gt;",Tableau1[[#This Row],[Caractéristique]], " ",Tableau1[[#This Row],[Apprentissage]],"&lt;/span&gt;&lt;/span&gt;"),"")</f>
        <v>&lt;span class="apprentissage"&gt;Apprentissage : &lt;span&gt;Adresse 10&lt;/span&gt;&lt;/span&gt;</v>
      </c>
      <c r="X69" s="6" t="s">
        <v>67</v>
      </c>
      <c r="Y69" s="6" t="str">
        <f>CONCATENATE("&lt;p&gt;Exécution : &lt;span&gt;", IF(Tableau1[[#This Row],[Exécution]]&gt;0,Tableau1[[#This Row],[Exécution]],"-"), "&lt;/span&gt;&lt;/p&gt;")</f>
        <v>&lt;p&gt;Exécution : &lt;span&gt;5&lt;/span&gt;&lt;/p&gt;</v>
      </c>
      <c r="Z69" s="6" t="str">
        <f>CONCATENATE("&lt;p&gt;Souffle : &lt;span class=""jauge""&gt;", IF(Tableau1[[#This Row],[Souffle]]&gt;0,Tableau1[[#This Row],[Souffle]],"-"), "&lt;/span&gt;&lt;/p&gt;")</f>
        <v>&lt;p&gt;Souffle : &lt;span class="jauge"&gt;-&lt;/span&gt;&lt;/p&gt;</v>
      </c>
      <c r="AA69" s="6" t="str">
        <f>CONCATENATE("&lt;p&gt;Concentration : &lt;span class=""jauge""&gt;",IF(Tableau1[[#This Row],[Concentration]]&gt;0,Tableau1[[#This Row],[Concentration]],"-"), "&lt;/span&gt;&lt;/p&gt;")</f>
        <v>&lt;p&gt;Concentration : &lt;span class="jauge"&gt;-&lt;/span&gt;&lt;/p&gt;</v>
      </c>
      <c r="AB69" s="6" t="str">
        <f>IF(Tableau1[[#This Row],[Adrénaline]]&gt;0,CONCATENATE("&lt;p&gt;Adrénaline : &lt;span class=""jauge""&gt;", Tableau1[[#This Row],[Adrénaline]], "&lt;/span&gt;&lt;/p&gt;"),"")</f>
        <v/>
      </c>
      <c r="AC69" s="6" t="s">
        <v>50</v>
      </c>
      <c r="AD69" s="6" t="str">
        <f>CONCATENATE("&lt;div class=""effets""&gt;",Tableau1[[#This Row],[Effets]],"&lt;/div&gt;")</f>
        <v>&lt;div class="effets"&gt;Un coup simple permettant de récupérer 1 point de &lt;span class="jauge"&gt;Souffle&lt;/span&gt; dans le combat tout en maintenant l'agression.&lt;/div&gt;</v>
      </c>
      <c r="AE69" s="6" t="s">
        <v>64</v>
      </c>
      <c r="AF69" s="6" t="str">
        <f>CONCATENATE(Tableau1[[#This Row],[HTML_prefix]],Tableau1[[#This Row],[HTML_nom]],Tableau1[[#This Row],[HTML_specs_prefix]],Tableau1[[#This Row],[HTML_passif]],Tableau1[[#This Row],[HTML_profil]],Tableau1[[#This Row],[HTML_innée]],Tableau1[[#This Row],[HTML_apprentissage]],Tableau1[[#This Row],[HTML_specs_col]],Tableau1[[#This Row],[HTML_Execution]],Tableau1[[#This Row],[HTML_Souffle]],Tableau1[[#This Row],[HTML_Concentration]],Tableau1[[#This Row],[HTML_Adrénaline]],Tableau1[[#This Row],[HTML_specs_suffix]],Tableau1[[#This Row],[HTML_effets]],Tableau1[[#This Row],[HTML_suffix]])</f>
        <v>&lt;div class="comp"&gt;&lt;h4 class="nom"&gt;Frappe économe&lt;/h4&gt;&lt;table class="spec"&gt;&lt;tr&gt;&lt;td class="left"&gt;&lt;span class="profil"&gt;Profil Précis&lt;/span&gt;&lt;span class="apprentissage"&gt;Apprentissage : &lt;span&gt;Adresse 10&lt;/span&gt;&lt;/span&gt;&lt;/td&gt;&lt;td class="right"&gt;&lt;p&gt;Exécution : &lt;span&gt;5&lt;/span&gt;&lt;/p&gt;&lt;p&gt;Souffle : &lt;span class="jauge"&gt;-&lt;/span&gt;&lt;/p&gt;&lt;p&gt;Concentration : &lt;span class="jauge"&gt;-&lt;/span&gt;&lt;/p&gt;&lt;/td&gt;&lt;/tr&gt;&lt;/table class=""spec""&gt;&lt;div class="effets"&gt;Un coup simple permettant de récupérer 1 point de &lt;span class="jauge"&gt;Souffle&lt;/span&gt; dans le combat tout en maintenant l'agression.&lt;/div&gt;&lt;/div&gt;</v>
      </c>
      <c r="AG69" s="8" t="str">
        <f>IF(ISBLANK(Tableau1[[#This Row],[Nom]]),"",IF(B69&lt;&gt;B68,CONCATENATE("&lt;/div&gt;&lt;div class=""voie ",Tableau1[[#This Row],[Caractéristique]],"""&gt;&lt;h3&gt;",Tableau1[[#This Row],[Voie]],"&lt;/h3&gt;",Tableau1[[#This Row],[HTML_ligne]]),Tableau1[[#This Row],[HTML_ligne]]))</f>
        <v>&lt;div class="comp"&gt;&lt;h4 class="nom"&gt;Frappe économe&lt;/h4&gt;&lt;table class="spec"&gt;&lt;tr&gt;&lt;td class="left"&gt;&lt;span class="profil"&gt;Profil Précis&lt;/span&gt;&lt;span class="apprentissage"&gt;Apprentissage : &lt;span&gt;Adresse 10&lt;/span&gt;&lt;/span&gt;&lt;/td&gt;&lt;td class="right"&gt;&lt;p&gt;Exécution : &lt;span&gt;5&lt;/span&gt;&lt;/p&gt;&lt;p&gt;Souffle : &lt;span class="jauge"&gt;-&lt;/span&gt;&lt;/p&gt;&lt;p&gt;Concentration : &lt;span class="jauge"&gt;-&lt;/span&gt;&lt;/p&gt;&lt;/td&gt;&lt;/tr&gt;&lt;/table class=""spec""&gt;&lt;div class="effets"&gt;Un coup simple permettant de récupérer 1 point de &lt;span class="jauge"&gt;Souffle&lt;/span&gt; dans le combat tout en maintenant l'agression.&lt;/div&gt;&lt;/div&gt;</v>
      </c>
    </row>
    <row r="70" spans="1:33" ht="30" x14ac:dyDescent="0.25">
      <c r="B70" s="3" t="s">
        <v>115</v>
      </c>
      <c r="C70" s="10">
        <v>1</v>
      </c>
      <c r="D70" s="3" t="s">
        <v>117</v>
      </c>
      <c r="E70" s="4">
        <f>IFERROR(VLOOKUP(Tableau1[[#This Row],[Niveau]],Tableau2[],2,FALSE),"")</f>
        <v>10</v>
      </c>
      <c r="F70" s="3" t="s">
        <v>58</v>
      </c>
      <c r="K70" s="10" t="b">
        <v>1</v>
      </c>
      <c r="N70" s="4" t="b">
        <f>IF(Tableau1[[#This Row],[Niveau]]=0,TRUE,FALSE)</f>
        <v>0</v>
      </c>
      <c r="O70" s="5" t="s">
        <v>118</v>
      </c>
      <c r="Q70" s="6" t="s">
        <v>65</v>
      </c>
      <c r="R70" s="6" t="str">
        <f>CONCATENATE("&lt;h4 class=""nom""&gt;",Tableau1[[#This Row],[Nom]],"&lt;/h4&gt;")</f>
        <v>&lt;h4 class="nom"&gt;Position défensive&lt;/h4&gt;</v>
      </c>
      <c r="S70" s="6" t="s">
        <v>66</v>
      </c>
      <c r="T70" s="6" t="str">
        <f>IF(Tableau1[[#This Row],[Passif ?]],"&lt;span class=""passive""&gt;Action passive&lt;/span&gt;","")</f>
        <v>&lt;span class="passive"&gt;Action passive&lt;/span&gt;</v>
      </c>
      <c r="U70" s="6" t="str">
        <f>IF(ISBLANK(Tableau1[[#This Row],[Profil]]),"",CONCATENATE("&lt;span class=""profil""&gt;Profil ",Tableau1[[#This Row],[Profil]],"&lt;/span&gt;"))</f>
        <v/>
      </c>
      <c r="V70" s="6" t="str">
        <f>IF(Tableau1[[#This Row],[Innée ?]],"&lt;span class=""innee""&gt;Action innée&lt;/span&gt;","")</f>
        <v/>
      </c>
      <c r="W70" s="6" t="str">
        <f>IF(Tableau1[[#This Row],[Niveau]]&gt;0,CONCATENATE("&lt;span class=""apprentissage""&gt;Apprentissage : &lt;span&gt;",Tableau1[[#This Row],[Caractéristique]], " ",Tableau1[[#This Row],[Apprentissage]],"&lt;/span&gt;&lt;/span&gt;"),"")</f>
        <v>&lt;span class="apprentissage"&gt;Apprentissage : &lt;span&gt;Adresse 10&lt;/span&gt;&lt;/span&gt;</v>
      </c>
      <c r="X70" s="6" t="s">
        <v>67</v>
      </c>
      <c r="Y70" s="6" t="str">
        <f>CONCATENATE("&lt;p&gt;Exécution : &lt;span&gt;", IF(Tableau1[[#This Row],[Exécution]]&gt;0,Tableau1[[#This Row],[Exécution]],"-"), "&lt;/span&gt;&lt;/p&gt;")</f>
        <v>&lt;p&gt;Exécution : &lt;span&gt;-&lt;/span&gt;&lt;/p&gt;</v>
      </c>
      <c r="Z70" s="6" t="str">
        <f>CONCATENATE("&lt;p&gt;Souffle : &lt;span class=""jauge""&gt;", IF(Tableau1[[#This Row],[Souffle]]&gt;0,Tableau1[[#This Row],[Souffle]],"-"), "&lt;/span&gt;&lt;/p&gt;")</f>
        <v>&lt;p&gt;Souffle : &lt;span class="jauge"&gt;-&lt;/span&gt;&lt;/p&gt;</v>
      </c>
      <c r="AA70" s="6" t="str">
        <f>CONCATENATE("&lt;p&gt;Concentration : &lt;span class=""jauge""&gt;",IF(Tableau1[[#This Row],[Concentration]]&gt;0,Tableau1[[#This Row],[Concentration]],"-"), "&lt;/span&gt;&lt;/p&gt;")</f>
        <v>&lt;p&gt;Concentration : &lt;span class="jauge"&gt;-&lt;/span&gt;&lt;/p&gt;</v>
      </c>
      <c r="AB70" s="6" t="str">
        <f>IF(Tableau1[[#This Row],[Adrénaline]]&gt;0,CONCATENATE("&lt;p&gt;Adrénaline : &lt;span class=""jauge""&gt;", Tableau1[[#This Row],[Adrénaline]], "&lt;/span&gt;&lt;/p&gt;"),"")</f>
        <v/>
      </c>
      <c r="AC70" s="6" t="s">
        <v>50</v>
      </c>
      <c r="AD70" s="6" t="str">
        <f>CONCATENATE("&lt;div class=""effets""&gt;",Tableau1[[#This Row],[Effets]],"&lt;/div&gt;")</f>
        <v>&lt;div class="effets"&gt;En adoptant cette posture, le personnage se tourne résoluement vers la défense. Pendant 3 tours il gagne un bonus +1 à ses parades et esquives au prix d'un malus de -1 en attaque. Passer en position défensive ne prend pas de temps mais doit être déclaré en début d'action du personnage.&lt;/div&gt;</v>
      </c>
      <c r="AE70" s="6" t="s">
        <v>64</v>
      </c>
      <c r="AF70" s="6" t="str">
        <f>CONCATENATE(Tableau1[[#This Row],[HTML_prefix]],Tableau1[[#This Row],[HTML_nom]],Tableau1[[#This Row],[HTML_specs_prefix]],Tableau1[[#This Row],[HTML_passif]],Tableau1[[#This Row],[HTML_profil]],Tableau1[[#This Row],[HTML_innée]],Tableau1[[#This Row],[HTML_apprentissage]],Tableau1[[#This Row],[HTML_specs_col]],Tableau1[[#This Row],[HTML_Execution]],Tableau1[[#This Row],[HTML_Souffle]],Tableau1[[#This Row],[HTML_Concentration]],Tableau1[[#This Row],[HTML_Adrénaline]],Tableau1[[#This Row],[HTML_specs_suffix]],Tableau1[[#This Row],[HTML_effets]],Tableau1[[#This Row],[HTML_suffix]])</f>
        <v>&lt;div class="comp"&gt;&lt;h4 class="nom"&gt;Position défensive&lt;/h4&gt;&lt;table class="spec"&gt;&lt;tr&gt;&lt;td class="left"&gt;&lt;span class="passive"&gt;Action passive&lt;/span&gt;&lt;span class="apprentissage"&gt;Apprentissage : &lt;span&gt;Adresse 10&lt;/span&gt;&lt;/span&gt;&lt;/td&gt;&lt;td class="right"&gt;&lt;p&gt;Exécution : &lt;span&gt;-&lt;/span&gt;&lt;/p&gt;&lt;p&gt;Souffle : &lt;span class="jauge"&gt;-&lt;/span&gt;&lt;/p&gt;&lt;p&gt;Concentration : &lt;span class="jauge"&gt;-&lt;/span&gt;&lt;/p&gt;&lt;/td&gt;&lt;/tr&gt;&lt;/table class=""spec""&gt;&lt;div class="effets"&gt;En adoptant cette posture, le personnage se tourne résoluement vers la défense. Pendant 3 tours il gagne un bonus +1 à ses parades et esquives au prix d'un malus de -1 en attaque. Passer en position défensive ne prend pas de temps mais doit être déclaré en début d'action du personnage.&lt;/div&gt;&lt;/div&gt;</v>
      </c>
      <c r="AG70" s="8" t="str">
        <f>IF(ISBLANK(Tableau1[[#This Row],[Nom]]),"",IF(B70&lt;&gt;B69,CONCATENATE("&lt;/div&gt;&lt;div class=""voie ",Tableau1[[#This Row],[Caractéristique]],"""&gt;&lt;h3&gt;",Tableau1[[#This Row],[Voie]],"&lt;/h3&gt;",Tableau1[[#This Row],[HTML_ligne]]),Tableau1[[#This Row],[HTML_ligne]]))</f>
        <v>&lt;div class="comp"&gt;&lt;h4 class="nom"&gt;Position défensive&lt;/h4&gt;&lt;table class="spec"&gt;&lt;tr&gt;&lt;td class="left"&gt;&lt;span class="passive"&gt;Action passive&lt;/span&gt;&lt;span class="apprentissage"&gt;Apprentissage : &lt;span&gt;Adresse 10&lt;/span&gt;&lt;/span&gt;&lt;/td&gt;&lt;td class="right"&gt;&lt;p&gt;Exécution : &lt;span&gt;-&lt;/span&gt;&lt;/p&gt;&lt;p&gt;Souffle : &lt;span class="jauge"&gt;-&lt;/span&gt;&lt;/p&gt;&lt;p&gt;Concentration : &lt;span class="jauge"&gt;-&lt;/span&gt;&lt;/p&gt;&lt;/td&gt;&lt;/tr&gt;&lt;/table class=""spec""&gt;&lt;div class="effets"&gt;En adoptant cette posture, le personnage se tourne résoluement vers la défense. Pendant 3 tours il gagne un bonus +1 à ses parades et esquives au prix d'un malus de -1 en attaque. Passer en position défensive ne prend pas de temps mais doit être déclaré en début d'action du personnage.&lt;/div&gt;&lt;/div&gt;</v>
      </c>
    </row>
    <row r="71" spans="1:33" ht="30" x14ac:dyDescent="0.25">
      <c r="B71" s="3" t="s">
        <v>115</v>
      </c>
      <c r="C71" s="10">
        <v>2</v>
      </c>
      <c r="D71" s="3" t="s">
        <v>149</v>
      </c>
      <c r="E71" s="4">
        <f>IFERROR(VLOOKUP(Tableau1[[#This Row],[Niveau]],Tableau2[],2,FALSE),"")</f>
        <v>15</v>
      </c>
      <c r="F71" s="3" t="s">
        <v>58</v>
      </c>
      <c r="G71" s="10">
        <v>5</v>
      </c>
      <c r="I71" s="10">
        <v>1</v>
      </c>
      <c r="L71" s="10" t="b">
        <v>1</v>
      </c>
      <c r="M71" s="25" t="s">
        <v>37</v>
      </c>
      <c r="N71" s="4" t="b">
        <f>IF(Tableau1[[#This Row],[Niveau]]=0,TRUE,FALSE)</f>
        <v>0</v>
      </c>
      <c r="O71" s="5" t="s">
        <v>150</v>
      </c>
      <c r="P71" s="3"/>
      <c r="Q71" s="6" t="s">
        <v>65</v>
      </c>
      <c r="R71" s="6" t="str">
        <f>CONCATENATE("&lt;h4 class=""nom""&gt;",Tableau1[[#This Row],[Nom]],"&lt;/h4&gt;")</f>
        <v>&lt;h4 class="nom"&gt;Déstabilisation&lt;/h4&gt;</v>
      </c>
      <c r="S71" s="6" t="s">
        <v>66</v>
      </c>
      <c r="T71" s="6" t="str">
        <f>IF(Tableau1[[#This Row],[Passif ?]],"&lt;span class=""passive""&gt;Action passive&lt;/span&gt;","")</f>
        <v/>
      </c>
      <c r="U71" s="6" t="str">
        <f>IF(ISBLANK(Tableau1[[#This Row],[Profil]]),"",CONCATENATE("&lt;span class=""profil""&gt;Profil ",Tableau1[[#This Row],[Profil]],"&lt;/span&gt;"))</f>
        <v>&lt;span class="profil"&gt;Profil Précis&lt;/span&gt;</v>
      </c>
      <c r="V71" s="6" t="str">
        <f>IF(Tableau1[[#This Row],[Innée ?]],"&lt;span class=""innee""&gt;Action innée&lt;/span&gt;","")</f>
        <v/>
      </c>
      <c r="W71" s="6" t="str">
        <f>IF(Tableau1[[#This Row],[Niveau]]&gt;0,CONCATENATE("&lt;span class=""apprentissage""&gt;Apprentissage : &lt;span&gt;",Tableau1[[#This Row],[Caractéristique]], " ",Tableau1[[#This Row],[Apprentissage]],"&lt;/span&gt;&lt;/span&gt;"),"")</f>
        <v>&lt;span class="apprentissage"&gt;Apprentissage : &lt;span&gt;Adresse 15&lt;/span&gt;&lt;/span&gt;</v>
      </c>
      <c r="X71" s="6" t="s">
        <v>67</v>
      </c>
      <c r="Y71" s="6" t="str">
        <f>CONCATENATE("&lt;p&gt;Exécution : &lt;span&gt;", IF(Tableau1[[#This Row],[Exécution]]&gt;0,Tableau1[[#This Row],[Exécution]],"-"), "&lt;/span&gt;&lt;/p&gt;")</f>
        <v>&lt;p&gt;Exécution : &lt;span&gt;5&lt;/span&gt;&lt;/p&gt;</v>
      </c>
      <c r="Z71" s="6" t="str">
        <f>CONCATENATE("&lt;p&gt;Souffle : &lt;span class=""jauge""&gt;", IF(Tableau1[[#This Row],[Souffle]]&gt;0,Tableau1[[#This Row],[Souffle]],"-"), "&lt;/span&gt;&lt;/p&gt;")</f>
        <v>&lt;p&gt;Souffle : &lt;span class="jauge"&gt;-&lt;/span&gt;&lt;/p&gt;</v>
      </c>
      <c r="AA71" s="6" t="str">
        <f>CONCATENATE("&lt;p&gt;Concentration : &lt;span class=""jauge""&gt;",IF(Tableau1[[#This Row],[Concentration]]&gt;0,Tableau1[[#This Row],[Concentration]],"-"), "&lt;/span&gt;&lt;/p&gt;")</f>
        <v>&lt;p&gt;Concentration : &lt;span class="jauge"&gt;1&lt;/span&gt;&lt;/p&gt;</v>
      </c>
      <c r="AB71" s="6" t="str">
        <f>IF(Tableau1[[#This Row],[Adrénaline]]&gt;0,CONCATENATE("&lt;p&gt;Adrénaline : &lt;span class=""jauge""&gt;", Tableau1[[#This Row],[Adrénaline]], "&lt;/span&gt;&lt;/p&gt;"),"")</f>
        <v/>
      </c>
      <c r="AC71" s="6" t="s">
        <v>50</v>
      </c>
      <c r="AD71" s="6" t="str">
        <f>CONCATENATE("&lt;div class=""effets""&gt;",Tableau1[[#This Row],[Effets]],"&lt;/div&gt;")</f>
        <v>&lt;div class="effets"&gt;Un pied qui traine, un coup d'épaule, le personnage profite de son attaque pour mettre en péril l’équilibre de son adversaire. Que l'attaque touche ou pas, il tente un duel de caractéristiques basé sur la &lt;span class="stat"&gt;Vivacité&lt;/span&gt;. En cas de succès, la cible est déstabilisée pour 1D3 tours.&lt;/div&gt;</v>
      </c>
      <c r="AE71" s="6" t="s">
        <v>64</v>
      </c>
      <c r="AF71" s="6" t="str">
        <f>CONCATENATE(Tableau1[[#This Row],[HTML_prefix]],Tableau1[[#This Row],[HTML_nom]],Tableau1[[#This Row],[HTML_specs_prefix]],Tableau1[[#This Row],[HTML_passif]],Tableau1[[#This Row],[HTML_profil]],Tableau1[[#This Row],[HTML_innée]],Tableau1[[#This Row],[HTML_apprentissage]],Tableau1[[#This Row],[HTML_specs_col]],Tableau1[[#This Row],[HTML_Execution]],Tableau1[[#This Row],[HTML_Souffle]],Tableau1[[#This Row],[HTML_Concentration]],Tableau1[[#This Row],[HTML_Adrénaline]],Tableau1[[#This Row],[HTML_specs_suffix]],Tableau1[[#This Row],[HTML_effets]],Tableau1[[#This Row],[HTML_suffix]])</f>
        <v>&lt;div class="comp"&gt;&lt;h4 class="nom"&gt;Déstabilisation&lt;/h4&gt;&lt;table class="spec"&gt;&lt;tr&gt;&lt;td class="left"&gt;&lt;span class="profil"&gt;Profil Précis&lt;/span&gt;&lt;span class="apprentissage"&gt;Apprentissage : &lt;span&gt;Adresse 15&lt;/span&gt;&lt;/span&gt;&lt;/td&gt;&lt;td class="right"&gt;&lt;p&gt;Exécution : &lt;span&gt;5&lt;/span&gt;&lt;/p&gt;&lt;p&gt;Souffle : &lt;span class="jauge"&gt;-&lt;/span&gt;&lt;/p&gt;&lt;p&gt;Concentration : &lt;span class="jauge"&gt;1&lt;/span&gt;&lt;/p&gt;&lt;/td&gt;&lt;/tr&gt;&lt;/table class=""spec""&gt;&lt;div class="effets"&gt;Un pied qui traine, un coup d'épaule, le personnage profite de son attaque pour mettre en péril l’équilibre de son adversaire. Que l'attaque touche ou pas, il tente un duel de caractéristiques basé sur la &lt;span class="stat"&gt;Vivacité&lt;/span&gt;. En cas de succès, la cible est déstabilisée pour 1D3 tours.&lt;/div&gt;&lt;/div&gt;</v>
      </c>
      <c r="AG71" s="8" t="str">
        <f>IF(ISBLANK(Tableau1[[#This Row],[Nom]]),"",IF(B71&lt;&gt;B70,CONCATENATE("&lt;/div&gt;&lt;div class=""voie ",Tableau1[[#This Row],[Caractéristique]],"""&gt;&lt;h3&gt;",Tableau1[[#This Row],[Voie]],"&lt;/h3&gt;",Tableau1[[#This Row],[HTML_ligne]]),Tableau1[[#This Row],[HTML_ligne]]))</f>
        <v>&lt;div class="comp"&gt;&lt;h4 class="nom"&gt;Déstabilisation&lt;/h4&gt;&lt;table class="spec"&gt;&lt;tr&gt;&lt;td class="left"&gt;&lt;span class="profil"&gt;Profil Précis&lt;/span&gt;&lt;span class="apprentissage"&gt;Apprentissage : &lt;span&gt;Adresse 15&lt;/span&gt;&lt;/span&gt;&lt;/td&gt;&lt;td class="right"&gt;&lt;p&gt;Exécution : &lt;span&gt;5&lt;/span&gt;&lt;/p&gt;&lt;p&gt;Souffle : &lt;span class="jauge"&gt;-&lt;/span&gt;&lt;/p&gt;&lt;p&gt;Concentration : &lt;span class="jauge"&gt;1&lt;/span&gt;&lt;/p&gt;&lt;/td&gt;&lt;/tr&gt;&lt;/table class=""spec""&gt;&lt;div class="effets"&gt;Un pied qui traine, un coup d'épaule, le personnage profite de son attaque pour mettre en péril l’équilibre de son adversaire. Que l'attaque touche ou pas, il tente un duel de caractéristiques basé sur la &lt;span class="stat"&gt;Vivacité&lt;/span&gt;. En cas de succès, la cible est déstabilisée pour 1D3 tours.&lt;/div&gt;&lt;/div&gt;</v>
      </c>
    </row>
    <row r="72" spans="1:33" ht="30" x14ac:dyDescent="0.25">
      <c r="B72" s="3" t="s">
        <v>115</v>
      </c>
      <c r="C72" s="10">
        <v>2</v>
      </c>
      <c r="D72" s="3" t="s">
        <v>170</v>
      </c>
      <c r="E72" s="4">
        <f>IFERROR(VLOOKUP(Tableau1[[#This Row],[Niveau]],Tableau2[],2,FALSE),"")</f>
        <v>15</v>
      </c>
      <c r="F72" s="3" t="s">
        <v>58</v>
      </c>
      <c r="K72" s="10" t="b">
        <v>1</v>
      </c>
      <c r="N72" s="4" t="b">
        <f>IF(Tableau1[[#This Row],[Niveau]]=0,TRUE,FALSE)</f>
        <v>0</v>
      </c>
      <c r="O72" s="5" t="s">
        <v>171</v>
      </c>
      <c r="Q72" s="6" t="s">
        <v>65</v>
      </c>
      <c r="R72" s="6" t="str">
        <f>CONCATENATE("&lt;h4 class=""nom""&gt;",Tableau1[[#This Row],[Nom]],"&lt;/h4&gt;")</f>
        <v>&lt;h4 class="nom"&gt;Posture offensive&lt;/h4&gt;</v>
      </c>
      <c r="S72" s="6" t="s">
        <v>66</v>
      </c>
      <c r="T72" s="6" t="str">
        <f>IF(Tableau1[[#This Row],[Passif ?]],"&lt;span class=""passive""&gt;Action passive&lt;/span&gt;","")</f>
        <v>&lt;span class="passive"&gt;Action passive&lt;/span&gt;</v>
      </c>
      <c r="U72" s="6" t="str">
        <f>IF(ISBLANK(Tableau1[[#This Row],[Profil]]),"",CONCATENATE("&lt;span class=""profil""&gt;Profil ",Tableau1[[#This Row],[Profil]],"&lt;/span&gt;"))</f>
        <v/>
      </c>
      <c r="V72" s="6" t="str">
        <f>IF(Tableau1[[#This Row],[Innée ?]],"&lt;span class=""innee""&gt;Action innée&lt;/span&gt;","")</f>
        <v/>
      </c>
      <c r="W72" s="6" t="str">
        <f>IF(Tableau1[[#This Row],[Niveau]]&gt;0,CONCATENATE("&lt;span class=""apprentissage""&gt;Apprentissage : &lt;span&gt;",Tableau1[[#This Row],[Caractéristique]], " ",Tableau1[[#This Row],[Apprentissage]],"&lt;/span&gt;&lt;/span&gt;"),"")</f>
        <v>&lt;span class="apprentissage"&gt;Apprentissage : &lt;span&gt;Adresse 15&lt;/span&gt;&lt;/span&gt;</v>
      </c>
      <c r="X72" s="6" t="s">
        <v>67</v>
      </c>
      <c r="Y72" s="6" t="str">
        <f>CONCATENATE("&lt;p&gt;Exécution : &lt;span&gt;", IF(Tableau1[[#This Row],[Exécution]]&gt;0,Tableau1[[#This Row],[Exécution]],"-"), "&lt;/span&gt;&lt;/p&gt;")</f>
        <v>&lt;p&gt;Exécution : &lt;span&gt;-&lt;/span&gt;&lt;/p&gt;</v>
      </c>
      <c r="Z72" s="6" t="str">
        <f>CONCATENATE("&lt;p&gt;Souffle : &lt;span class=""jauge""&gt;", IF(Tableau1[[#This Row],[Souffle]]&gt;0,Tableau1[[#This Row],[Souffle]],"-"), "&lt;/span&gt;&lt;/p&gt;")</f>
        <v>&lt;p&gt;Souffle : &lt;span class="jauge"&gt;-&lt;/span&gt;&lt;/p&gt;</v>
      </c>
      <c r="AA72" s="6" t="str">
        <f>CONCATENATE("&lt;p&gt;Concentration : &lt;span class=""jauge""&gt;",IF(Tableau1[[#This Row],[Concentration]]&gt;0,Tableau1[[#This Row],[Concentration]],"-"), "&lt;/span&gt;&lt;/p&gt;")</f>
        <v>&lt;p&gt;Concentration : &lt;span class="jauge"&gt;-&lt;/span&gt;&lt;/p&gt;</v>
      </c>
      <c r="AB72" s="6" t="str">
        <f>IF(Tableau1[[#This Row],[Adrénaline]]&gt;0,CONCATENATE("&lt;p&gt;Adrénaline : &lt;span class=""jauge""&gt;", Tableau1[[#This Row],[Adrénaline]], "&lt;/span&gt;&lt;/p&gt;"),"")</f>
        <v/>
      </c>
      <c r="AC72" s="6" t="s">
        <v>50</v>
      </c>
      <c r="AD72" s="6" t="str">
        <f>CONCATENATE("&lt;div class=""effets""&gt;",Tableau1[[#This Row],[Effets]],"&lt;/div&gt;")</f>
        <v>&lt;div class="effets"&gt;En adoptant cette posture, le personnage se tourne résolument vers l'offensive. Pendant 3 tours il gagne un bonus de +1 en attaque au prix d'un malus de -1 en défense. Passer en position offensive ne prend pas de temps mais doit être déclaré en début d'action du personnage.&lt;/div&gt;</v>
      </c>
      <c r="AE72" s="6" t="s">
        <v>64</v>
      </c>
      <c r="AF72" s="6" t="str">
        <f>CONCATENATE(Tableau1[[#This Row],[HTML_prefix]],Tableau1[[#This Row],[HTML_nom]],Tableau1[[#This Row],[HTML_specs_prefix]],Tableau1[[#This Row],[HTML_passif]],Tableau1[[#This Row],[HTML_profil]],Tableau1[[#This Row],[HTML_innée]],Tableau1[[#This Row],[HTML_apprentissage]],Tableau1[[#This Row],[HTML_specs_col]],Tableau1[[#This Row],[HTML_Execution]],Tableau1[[#This Row],[HTML_Souffle]],Tableau1[[#This Row],[HTML_Concentration]],Tableau1[[#This Row],[HTML_Adrénaline]],Tableau1[[#This Row],[HTML_specs_suffix]],Tableau1[[#This Row],[HTML_effets]],Tableau1[[#This Row],[HTML_suffix]])</f>
        <v>&lt;div class="comp"&gt;&lt;h4 class="nom"&gt;Posture offensive&lt;/h4&gt;&lt;table class="spec"&gt;&lt;tr&gt;&lt;td class="left"&gt;&lt;span class="passive"&gt;Action passive&lt;/span&gt;&lt;span class="apprentissage"&gt;Apprentissage : &lt;span&gt;Adresse 15&lt;/span&gt;&lt;/span&gt;&lt;/td&gt;&lt;td class="right"&gt;&lt;p&gt;Exécution : &lt;span&gt;-&lt;/span&gt;&lt;/p&gt;&lt;p&gt;Souffle : &lt;span class="jauge"&gt;-&lt;/span&gt;&lt;/p&gt;&lt;p&gt;Concentration : &lt;span class="jauge"&gt;-&lt;/span&gt;&lt;/p&gt;&lt;/td&gt;&lt;/tr&gt;&lt;/table class=""spec""&gt;&lt;div class="effets"&gt;En adoptant cette posture, le personnage se tourne résolument vers l'offensive. Pendant 3 tours il gagne un bonus de +1 en attaque au prix d'un malus de -1 en défense. Passer en position offensive ne prend pas de temps mais doit être déclaré en début d'action du personnage.&lt;/div&gt;&lt;/div&gt;</v>
      </c>
      <c r="AG72" s="8" t="str">
        <f>IF(ISBLANK(Tableau1[[#This Row],[Nom]]),"",IF(B72&lt;&gt;B71,CONCATENATE("&lt;/div&gt;&lt;div class=""voie ",Tableau1[[#This Row],[Caractéristique]],"""&gt;&lt;h3&gt;",Tableau1[[#This Row],[Voie]],"&lt;/h3&gt;",Tableau1[[#This Row],[HTML_ligne]]),Tableau1[[#This Row],[HTML_ligne]]))</f>
        <v>&lt;div class="comp"&gt;&lt;h4 class="nom"&gt;Posture offensive&lt;/h4&gt;&lt;table class="spec"&gt;&lt;tr&gt;&lt;td class="left"&gt;&lt;span class="passive"&gt;Action passive&lt;/span&gt;&lt;span class="apprentissage"&gt;Apprentissage : &lt;span&gt;Adresse 15&lt;/span&gt;&lt;/span&gt;&lt;/td&gt;&lt;td class="right"&gt;&lt;p&gt;Exécution : &lt;span&gt;-&lt;/span&gt;&lt;/p&gt;&lt;p&gt;Souffle : &lt;span class="jauge"&gt;-&lt;/span&gt;&lt;/p&gt;&lt;p&gt;Concentration : &lt;span class="jauge"&gt;-&lt;/span&gt;&lt;/p&gt;&lt;/td&gt;&lt;/tr&gt;&lt;/table class=""spec""&gt;&lt;div class="effets"&gt;En adoptant cette posture, le personnage se tourne résolument vers l'offensive. Pendant 3 tours il gagne un bonus de +1 en attaque au prix d'un malus de -1 en défense. Passer en position offensive ne prend pas de temps mais doit être déclaré en début d'action du personnage.&lt;/div&gt;&lt;/div&gt;</v>
      </c>
    </row>
    <row r="73" spans="1:33" ht="30" x14ac:dyDescent="0.25">
      <c r="B73" s="3" t="s">
        <v>115</v>
      </c>
      <c r="C73" s="10">
        <v>3</v>
      </c>
      <c r="D73" s="3" t="s">
        <v>168</v>
      </c>
      <c r="E73" s="4">
        <f>IFERROR(VLOOKUP(Tableau1[[#This Row],[Niveau]],Tableau2[],2,FALSE),"")</f>
        <v>20</v>
      </c>
      <c r="F73" s="3" t="s">
        <v>58</v>
      </c>
      <c r="G73" s="10">
        <v>5</v>
      </c>
      <c r="H73" s="10">
        <v>1</v>
      </c>
      <c r="I73" s="10">
        <v>1</v>
      </c>
      <c r="L73" s="10" t="b">
        <v>1</v>
      </c>
      <c r="M73" s="25" t="s">
        <v>37</v>
      </c>
      <c r="N73" s="4" t="b">
        <f>IF(Tableau1[[#This Row],[Niveau]]=0,TRUE,FALSE)</f>
        <v>0</v>
      </c>
      <c r="O73" s="5" t="s">
        <v>169</v>
      </c>
      <c r="Q73" s="6" t="s">
        <v>65</v>
      </c>
      <c r="R73" s="6" t="str">
        <f>CONCATENATE("&lt;h4 class=""nom""&gt;",Tableau1[[#This Row],[Nom]],"&lt;/h4&gt;")</f>
        <v>&lt;h4 class="nom"&gt;Frappe vicieuse&lt;/h4&gt;</v>
      </c>
      <c r="S73" s="6" t="s">
        <v>66</v>
      </c>
      <c r="T73" s="6" t="str">
        <f>IF(Tableau1[[#This Row],[Passif ?]],"&lt;span class=""passive""&gt;Action passive&lt;/span&gt;","")</f>
        <v/>
      </c>
      <c r="U73" s="6" t="str">
        <f>IF(ISBLANK(Tableau1[[#This Row],[Profil]]),"",CONCATENATE("&lt;span class=""profil""&gt;Profil ",Tableau1[[#This Row],[Profil]],"&lt;/span&gt;"))</f>
        <v>&lt;span class="profil"&gt;Profil Précis&lt;/span&gt;</v>
      </c>
      <c r="V73" s="6" t="str">
        <f>IF(Tableau1[[#This Row],[Innée ?]],"&lt;span class=""innee""&gt;Action innée&lt;/span&gt;","")</f>
        <v/>
      </c>
      <c r="W73" s="6" t="str">
        <f>IF(Tableau1[[#This Row],[Niveau]]&gt;0,CONCATENATE("&lt;span class=""apprentissage""&gt;Apprentissage : &lt;span&gt;",Tableau1[[#This Row],[Caractéristique]], " ",Tableau1[[#This Row],[Apprentissage]],"&lt;/span&gt;&lt;/span&gt;"),"")</f>
        <v>&lt;span class="apprentissage"&gt;Apprentissage : &lt;span&gt;Adresse 20&lt;/span&gt;&lt;/span&gt;</v>
      </c>
      <c r="X73" s="6" t="s">
        <v>67</v>
      </c>
      <c r="Y73" s="6" t="str">
        <f>CONCATENATE("&lt;p&gt;Exécution : &lt;span&gt;", IF(Tableau1[[#This Row],[Exécution]]&gt;0,Tableau1[[#This Row],[Exécution]],"-"), "&lt;/span&gt;&lt;/p&gt;")</f>
        <v>&lt;p&gt;Exécution : &lt;span&gt;5&lt;/span&gt;&lt;/p&gt;</v>
      </c>
      <c r="Z73" s="6" t="str">
        <f>CONCATENATE("&lt;p&gt;Souffle : &lt;span class=""jauge""&gt;", IF(Tableau1[[#This Row],[Souffle]]&gt;0,Tableau1[[#This Row],[Souffle]],"-"), "&lt;/span&gt;&lt;/p&gt;")</f>
        <v>&lt;p&gt;Souffle : &lt;span class="jauge"&gt;1&lt;/span&gt;&lt;/p&gt;</v>
      </c>
      <c r="AA73" s="6" t="str">
        <f>CONCATENATE("&lt;p&gt;Concentration : &lt;span class=""jauge""&gt;",IF(Tableau1[[#This Row],[Concentration]]&gt;0,Tableau1[[#This Row],[Concentration]],"-"), "&lt;/span&gt;&lt;/p&gt;")</f>
        <v>&lt;p&gt;Concentration : &lt;span class="jauge"&gt;1&lt;/span&gt;&lt;/p&gt;</v>
      </c>
      <c r="AB73" s="6" t="str">
        <f>IF(Tableau1[[#This Row],[Adrénaline]]&gt;0,CONCATENATE("&lt;p&gt;Adrénaline : &lt;span class=""jauge""&gt;", Tableau1[[#This Row],[Adrénaline]], "&lt;/span&gt;&lt;/p&gt;"),"")</f>
        <v/>
      </c>
      <c r="AC73" s="6" t="s">
        <v>50</v>
      </c>
      <c r="AD73" s="6" t="str">
        <f>CONCATENATE("&lt;div class=""effets""&gt;",Tableau1[[#This Row],[Effets]],"&lt;/div&gt;")</f>
        <v>&lt;div class="effets"&gt;Le personnage tente une attaque particulièrement vicieuse pour infliger un maximum de dégâts. L’attaque subira un malus de -5 pour toucher mais en cas de succès, les dégâts seront augmentés du quart de l’&lt;span class="stat"&gt;Adresse&lt;/span&gt; du personnage.&lt;/div&gt;</v>
      </c>
      <c r="AE73" s="6" t="s">
        <v>64</v>
      </c>
      <c r="AF73" s="6" t="str">
        <f>CONCATENATE(Tableau1[[#This Row],[HTML_prefix]],Tableau1[[#This Row],[HTML_nom]],Tableau1[[#This Row],[HTML_specs_prefix]],Tableau1[[#This Row],[HTML_passif]],Tableau1[[#This Row],[HTML_profil]],Tableau1[[#This Row],[HTML_innée]],Tableau1[[#This Row],[HTML_apprentissage]],Tableau1[[#This Row],[HTML_specs_col]],Tableau1[[#This Row],[HTML_Execution]],Tableau1[[#This Row],[HTML_Souffle]],Tableau1[[#This Row],[HTML_Concentration]],Tableau1[[#This Row],[HTML_Adrénaline]],Tableau1[[#This Row],[HTML_specs_suffix]],Tableau1[[#This Row],[HTML_effets]],Tableau1[[#This Row],[HTML_suffix]])</f>
        <v>&lt;div class="comp"&gt;&lt;h4 class="nom"&gt;Frappe vicieuse&lt;/h4&gt;&lt;table class="spec"&gt;&lt;tr&gt;&lt;td class="left"&gt;&lt;span class="profil"&gt;Profil Précis&lt;/span&gt;&lt;span class="apprentissage"&gt;Apprentissage : &lt;span&gt;Adresse 20&lt;/span&gt;&lt;/span&gt;&lt;/td&gt;&lt;td class="right"&gt;&lt;p&gt;Exécution : &lt;span&gt;5&lt;/span&gt;&lt;/p&gt;&lt;p&gt;Souffle : &lt;span class="jauge"&gt;1&lt;/span&gt;&lt;/p&gt;&lt;p&gt;Concentration : &lt;span class="jauge"&gt;1&lt;/span&gt;&lt;/p&gt;&lt;/td&gt;&lt;/tr&gt;&lt;/table class=""spec""&gt;&lt;div class="effets"&gt;Le personnage tente une attaque particulièrement vicieuse pour infliger un maximum de dégâts. L’attaque subira un malus de -5 pour toucher mais en cas de succès, les dégâts seront augmentés du quart de l’&lt;span class="stat"&gt;Adresse&lt;/span&gt; du personnage.&lt;/div&gt;&lt;/div&gt;</v>
      </c>
      <c r="AG73" s="8" t="str">
        <f>IF(ISBLANK(Tableau1[[#This Row],[Nom]]),"",IF(B73&lt;&gt;B72,CONCATENATE("&lt;/div&gt;&lt;div class=""voie ",Tableau1[[#This Row],[Caractéristique]],"""&gt;&lt;h3&gt;",Tableau1[[#This Row],[Voie]],"&lt;/h3&gt;",Tableau1[[#This Row],[HTML_ligne]]),Tableau1[[#This Row],[HTML_ligne]]))</f>
        <v>&lt;div class="comp"&gt;&lt;h4 class="nom"&gt;Frappe vicieuse&lt;/h4&gt;&lt;table class="spec"&gt;&lt;tr&gt;&lt;td class="left"&gt;&lt;span class="profil"&gt;Profil Précis&lt;/span&gt;&lt;span class="apprentissage"&gt;Apprentissage : &lt;span&gt;Adresse 20&lt;/span&gt;&lt;/span&gt;&lt;/td&gt;&lt;td class="right"&gt;&lt;p&gt;Exécution : &lt;span&gt;5&lt;/span&gt;&lt;/p&gt;&lt;p&gt;Souffle : &lt;span class="jauge"&gt;1&lt;/span&gt;&lt;/p&gt;&lt;p&gt;Concentration : &lt;span class="jauge"&gt;1&lt;/span&gt;&lt;/p&gt;&lt;/td&gt;&lt;/tr&gt;&lt;/table class=""spec""&gt;&lt;div class="effets"&gt;Le personnage tente une attaque particulièrement vicieuse pour infliger un maximum de dégâts. L’attaque subira un malus de -5 pour toucher mais en cas de succès, les dégâts seront augmentés du quart de l’&lt;span class="stat"&gt;Adresse&lt;/span&gt; du personnage.&lt;/div&gt;&lt;/div&gt;</v>
      </c>
    </row>
    <row r="74" spans="1:33" ht="30" x14ac:dyDescent="0.25">
      <c r="A74" s="12">
        <v>9</v>
      </c>
      <c r="B74" s="3" t="s">
        <v>126</v>
      </c>
      <c r="C74" s="10">
        <v>1</v>
      </c>
      <c r="D74" s="3" t="s">
        <v>129</v>
      </c>
      <c r="E74" s="4">
        <f>IFERROR(VLOOKUP(Tableau1[[#This Row],[Niveau]],Tableau2[],2,FALSE),"")</f>
        <v>10</v>
      </c>
      <c r="F74" s="3" t="s">
        <v>127</v>
      </c>
      <c r="K74" s="10" t="b">
        <v>1</v>
      </c>
      <c r="N74" s="4" t="b">
        <f>IF(Tableau1[[#This Row],[Niveau]]=0,TRUE,FALSE)</f>
        <v>0</v>
      </c>
      <c r="O74" s="5" t="s">
        <v>131</v>
      </c>
      <c r="Q74" s="6" t="s">
        <v>65</v>
      </c>
      <c r="R74" s="6" t="str">
        <f>CONCATENATE("&lt;h4 class=""nom""&gt;",Tableau1[[#This Row],[Nom]],"&lt;/h4&gt;")</f>
        <v>&lt;h4 class="nom"&gt;Spécialiste des projectiles&lt;/h4&gt;</v>
      </c>
      <c r="S74" s="6" t="s">
        <v>66</v>
      </c>
      <c r="T74" s="6" t="str">
        <f>IF(Tableau1[[#This Row],[Passif ?]],"&lt;span class=""passive""&gt;Action passive&lt;/span&gt;","")</f>
        <v>&lt;span class="passive"&gt;Action passive&lt;/span&gt;</v>
      </c>
      <c r="U74" s="6" t="str">
        <f>IF(ISBLANK(Tableau1[[#This Row],[Profil]]),"",CONCATENATE("&lt;span class=""profil""&gt;Profil ",Tableau1[[#This Row],[Profil]],"&lt;/span&gt;"))</f>
        <v/>
      </c>
      <c r="V74" s="6" t="str">
        <f>IF(Tableau1[[#This Row],[Innée ?]],"&lt;span class=""innee""&gt;Action innée&lt;/span&gt;","")</f>
        <v/>
      </c>
      <c r="W74" s="6" t="str">
        <f>IF(Tableau1[[#This Row],[Niveau]]&gt;0,CONCATENATE("&lt;span class=""apprentissage""&gt;Apprentissage : &lt;span&gt;",Tableau1[[#This Row],[Caractéristique]], " ",Tableau1[[#This Row],[Apprentissage]],"&lt;/span&gt;&lt;/span&gt;"),"")</f>
        <v>&lt;span class="apprentissage"&gt;Apprentissage : &lt;span&gt;Intelligence 10&lt;/span&gt;&lt;/span&gt;</v>
      </c>
      <c r="X74" s="6" t="s">
        <v>67</v>
      </c>
      <c r="Y74" s="6" t="str">
        <f>CONCATENATE("&lt;p&gt;Exécution : &lt;span&gt;", IF(Tableau1[[#This Row],[Exécution]]&gt;0,Tableau1[[#This Row],[Exécution]],"-"), "&lt;/span&gt;&lt;/p&gt;")</f>
        <v>&lt;p&gt;Exécution : &lt;span&gt;-&lt;/span&gt;&lt;/p&gt;</v>
      </c>
      <c r="Z74" s="6" t="str">
        <f>CONCATENATE("&lt;p&gt;Souffle : &lt;span class=""jauge""&gt;", IF(Tableau1[[#This Row],[Souffle]]&gt;0,Tableau1[[#This Row],[Souffle]],"-"), "&lt;/span&gt;&lt;/p&gt;")</f>
        <v>&lt;p&gt;Souffle : &lt;span class="jauge"&gt;-&lt;/span&gt;&lt;/p&gt;</v>
      </c>
      <c r="AA74" s="6" t="str">
        <f>CONCATENATE("&lt;p&gt;Concentration : &lt;span class=""jauge""&gt;",IF(Tableau1[[#This Row],[Concentration]]&gt;0,Tableau1[[#This Row],[Concentration]],"-"), "&lt;/span&gt;&lt;/p&gt;")</f>
        <v>&lt;p&gt;Concentration : &lt;span class="jauge"&gt;-&lt;/span&gt;&lt;/p&gt;</v>
      </c>
      <c r="AB74" s="6" t="str">
        <f>IF(Tableau1[[#This Row],[Adrénaline]]&gt;0,CONCATENATE("&lt;p&gt;Adrénaline : &lt;span class=""jauge""&gt;", Tableau1[[#This Row],[Adrénaline]], "&lt;/span&gt;&lt;/p&gt;"),"")</f>
        <v/>
      </c>
      <c r="AC74" s="6" t="s">
        <v>50</v>
      </c>
      <c r="AD74" s="6" t="str">
        <f>CONCATENATE("&lt;div class=""effets""&gt;",Tableau1[[#This Row],[Effets]],"&lt;/div&gt;")</f>
        <v>&lt;div class="effets"&gt;Pour les projectiles magiques, les points de &lt;span class="jauge"&gt;Concentration&lt;/span&gt; dépensés  pour lancer le sort sont également appliqués en bonus pour déterminer si le projectile atteint sa cible.&lt;/div&gt;</v>
      </c>
      <c r="AE74" s="6" t="s">
        <v>64</v>
      </c>
      <c r="AF74" s="6" t="str">
        <f>CONCATENATE(Tableau1[[#This Row],[HTML_prefix]],Tableau1[[#This Row],[HTML_nom]],Tableau1[[#This Row],[HTML_specs_prefix]],Tableau1[[#This Row],[HTML_passif]],Tableau1[[#This Row],[HTML_profil]],Tableau1[[#This Row],[HTML_innée]],Tableau1[[#This Row],[HTML_apprentissage]],Tableau1[[#This Row],[HTML_specs_col]],Tableau1[[#This Row],[HTML_Execution]],Tableau1[[#This Row],[HTML_Souffle]],Tableau1[[#This Row],[HTML_Concentration]],Tableau1[[#This Row],[HTML_Adrénaline]],Tableau1[[#This Row],[HTML_specs_suffix]],Tableau1[[#This Row],[HTML_effets]],Tableau1[[#This Row],[HTML_suffix]])</f>
        <v>&lt;div class="comp"&gt;&lt;h4 class="nom"&gt;Spécialiste des projectiles&lt;/h4&gt;&lt;table class="spec"&gt;&lt;tr&gt;&lt;td class="left"&gt;&lt;span class="passive"&gt;Action passive&lt;/span&gt;&lt;span class="apprentissage"&gt;Apprentissage : &lt;span&gt;Intelligence 10&lt;/span&gt;&lt;/span&gt;&lt;/td&gt;&lt;td class="right"&gt;&lt;p&gt;Exécution : &lt;span&gt;-&lt;/span&gt;&lt;/p&gt;&lt;p&gt;Souffle : &lt;span class="jauge"&gt;-&lt;/span&gt;&lt;/p&gt;&lt;p&gt;Concentration : &lt;span class="jauge"&gt;-&lt;/span&gt;&lt;/p&gt;&lt;/td&gt;&lt;/tr&gt;&lt;/table class=""spec""&gt;&lt;div class="effets"&gt;Pour les projectiles magiques, les points de &lt;span class="jauge"&gt;Concentration&lt;/span&gt; dépensés  pour lancer le sort sont également appliqués en bonus pour déterminer si le projectile atteint sa cible.&lt;/div&gt;&lt;/div&gt;</v>
      </c>
      <c r="AG74" s="8" t="str">
        <f>IF(ISBLANK(Tableau1[[#This Row],[Nom]]),"",IF(B74&lt;&gt;B73,CONCATENATE("&lt;/div&gt;&lt;div class=""voie ",Tableau1[[#This Row],[Caractéristique]],"""&gt;&lt;h3&gt;",Tableau1[[#This Row],[Voie]],"&lt;/h3&gt;",Tableau1[[#This Row],[HTML_ligne]]),Tableau1[[#This Row],[HTML_ligne]]))</f>
        <v>&lt;/div&gt;&lt;div class="voie Intelligence"&gt;&lt;h3&gt;Sorcellerie&lt;/h3&gt;&lt;div class="comp"&gt;&lt;h4 class="nom"&gt;Spécialiste des projectiles&lt;/h4&gt;&lt;table class="spec"&gt;&lt;tr&gt;&lt;td class="left"&gt;&lt;span class="passive"&gt;Action passive&lt;/span&gt;&lt;span class="apprentissage"&gt;Apprentissage : &lt;span&gt;Intelligence 10&lt;/span&gt;&lt;/span&gt;&lt;/td&gt;&lt;td class="right"&gt;&lt;p&gt;Exécution : &lt;span&gt;-&lt;/span&gt;&lt;/p&gt;&lt;p&gt;Souffle : &lt;span class="jauge"&gt;-&lt;/span&gt;&lt;/p&gt;&lt;p&gt;Concentration : &lt;span class="jauge"&gt;-&lt;/span&gt;&lt;/p&gt;&lt;/td&gt;&lt;/tr&gt;&lt;/table class=""spec""&gt;&lt;div class="effets"&gt;Pour les projectiles magiques, les points de &lt;span class="jauge"&gt;Concentration&lt;/span&gt; dépensés  pour lancer le sort sont également appliqués en bonus pour déterminer si le projectile atteint sa cible.&lt;/div&gt;&lt;/div&gt;</v>
      </c>
    </row>
    <row r="75" spans="1:33" x14ac:dyDescent="0.25">
      <c r="B75" s="3" t="s">
        <v>134</v>
      </c>
      <c r="C75" s="10">
        <v>1</v>
      </c>
      <c r="D75" s="3" t="s">
        <v>135</v>
      </c>
      <c r="E75" s="4">
        <f>IFERROR(VLOOKUP(Tableau1[[#This Row],[Niveau]],Tableau2[],2,FALSE),"")</f>
        <v>10</v>
      </c>
      <c r="F75" s="3" t="s">
        <v>127</v>
      </c>
      <c r="K75" s="10" t="b">
        <v>1</v>
      </c>
      <c r="N75" s="4" t="b">
        <f>IF(Tableau1[[#This Row],[Niveau]]=0,TRUE,FALSE)</f>
        <v>0</v>
      </c>
      <c r="O75" s="5" t="s">
        <v>136</v>
      </c>
      <c r="Q75" s="6" t="s">
        <v>65</v>
      </c>
      <c r="R75" s="6" t="str">
        <f>CONCATENATE("&lt;h4 class=""nom""&gt;",Tableau1[[#This Row],[Nom]],"&lt;/h4&gt;")</f>
        <v>&lt;h4 class="nom"&gt;Mage combattant&lt;/h4&gt;</v>
      </c>
      <c r="S75" s="6" t="s">
        <v>66</v>
      </c>
      <c r="T75" s="6" t="str">
        <f>IF(Tableau1[[#This Row],[Passif ?]],"&lt;span class=""passive""&gt;Action passive&lt;/span&gt;","")</f>
        <v>&lt;span class="passive"&gt;Action passive&lt;/span&gt;</v>
      </c>
      <c r="U75" s="6" t="str">
        <f>IF(ISBLANK(Tableau1[[#This Row],[Profil]]),"",CONCATENATE("&lt;span class=""profil""&gt;Profil ",Tableau1[[#This Row],[Profil]],"&lt;/span&gt;"))</f>
        <v/>
      </c>
      <c r="V75" s="6" t="str">
        <f>IF(Tableau1[[#This Row],[Innée ?]],"&lt;span class=""innee""&gt;Action innée&lt;/span&gt;","")</f>
        <v/>
      </c>
      <c r="W75" s="6" t="str">
        <f>IF(Tableau1[[#This Row],[Niveau]]&gt;0,CONCATENATE("&lt;span class=""apprentissage""&gt;Apprentissage : &lt;span&gt;",Tableau1[[#This Row],[Caractéristique]], " ",Tableau1[[#This Row],[Apprentissage]],"&lt;/span&gt;&lt;/span&gt;"),"")</f>
        <v>&lt;span class="apprentissage"&gt;Apprentissage : &lt;span&gt;Intelligence 10&lt;/span&gt;&lt;/span&gt;</v>
      </c>
      <c r="X75" s="6" t="s">
        <v>67</v>
      </c>
      <c r="Y75" s="6" t="str">
        <f>CONCATENATE("&lt;p&gt;Exécution : &lt;span&gt;", IF(Tableau1[[#This Row],[Exécution]]&gt;0,Tableau1[[#This Row],[Exécution]],"-"), "&lt;/span&gt;&lt;/p&gt;")</f>
        <v>&lt;p&gt;Exécution : &lt;span&gt;-&lt;/span&gt;&lt;/p&gt;</v>
      </c>
      <c r="Z75" s="6" t="str">
        <f>CONCATENATE("&lt;p&gt;Souffle : &lt;span class=""jauge""&gt;", IF(Tableau1[[#This Row],[Souffle]]&gt;0,Tableau1[[#This Row],[Souffle]],"-"), "&lt;/span&gt;&lt;/p&gt;")</f>
        <v>&lt;p&gt;Souffle : &lt;span class="jauge"&gt;-&lt;/span&gt;&lt;/p&gt;</v>
      </c>
      <c r="AA75" s="6" t="str">
        <f>CONCATENATE("&lt;p&gt;Concentration : &lt;span class=""jauge""&gt;",IF(Tableau1[[#This Row],[Concentration]]&gt;0,Tableau1[[#This Row],[Concentration]],"-"), "&lt;/span&gt;&lt;/p&gt;")</f>
        <v>&lt;p&gt;Concentration : &lt;span class="jauge"&gt;-&lt;/span&gt;&lt;/p&gt;</v>
      </c>
      <c r="AB75" s="6" t="str">
        <f>IF(Tableau1[[#This Row],[Adrénaline]]&gt;0,CONCATENATE("&lt;p&gt;Adrénaline : &lt;span class=""jauge""&gt;", Tableau1[[#This Row],[Adrénaline]], "&lt;/span&gt;&lt;/p&gt;"),"")</f>
        <v/>
      </c>
      <c r="AC75" s="6" t="s">
        <v>50</v>
      </c>
      <c r="AD75" s="6" t="str">
        <f>CONCATENATE("&lt;div class=""effets""&gt;",Tableau1[[#This Row],[Effets]],"&lt;/div&gt;")</f>
        <v>&lt;div class="effets"&gt;Lancer un sort devient une action de combat.&lt;/div&gt;</v>
      </c>
      <c r="AE75" s="6" t="s">
        <v>64</v>
      </c>
      <c r="AF75" s="6" t="str">
        <f>CONCATENATE(Tableau1[[#This Row],[HTML_prefix]],Tableau1[[#This Row],[HTML_nom]],Tableau1[[#This Row],[HTML_specs_prefix]],Tableau1[[#This Row],[HTML_passif]],Tableau1[[#This Row],[HTML_profil]],Tableau1[[#This Row],[HTML_innée]],Tableau1[[#This Row],[HTML_apprentissage]],Tableau1[[#This Row],[HTML_specs_col]],Tableau1[[#This Row],[HTML_Execution]],Tableau1[[#This Row],[HTML_Souffle]],Tableau1[[#This Row],[HTML_Concentration]],Tableau1[[#This Row],[HTML_Adrénaline]],Tableau1[[#This Row],[HTML_specs_suffix]],Tableau1[[#This Row],[HTML_effets]],Tableau1[[#This Row],[HTML_suffix]])</f>
        <v>&lt;div class="comp"&gt;&lt;h4 class="nom"&gt;Mage combattant&lt;/h4&gt;&lt;table class="spec"&gt;&lt;tr&gt;&lt;td class="left"&gt;&lt;span class="passive"&gt;Action passive&lt;/span&gt;&lt;span class="apprentissage"&gt;Apprentissage : &lt;span&gt;Intelligence 10&lt;/span&gt;&lt;/span&gt;&lt;/td&gt;&lt;td class="right"&gt;&lt;p&gt;Exécution : &lt;span&gt;-&lt;/span&gt;&lt;/p&gt;&lt;p&gt;Souffle : &lt;span class="jauge"&gt;-&lt;/span&gt;&lt;/p&gt;&lt;p&gt;Concentration : &lt;span class="jauge"&gt;-&lt;/span&gt;&lt;/p&gt;&lt;/td&gt;&lt;/tr&gt;&lt;/table class=""spec""&gt;&lt;div class="effets"&gt;Lancer un sort devient une action de combat.&lt;/div&gt;&lt;/div&gt;</v>
      </c>
      <c r="AG75" s="8" t="str">
        <f>IF(ISBLANK(Tableau1[[#This Row],[Nom]]),"",IF(B75&lt;&gt;B74,CONCATENATE("&lt;/div&gt;&lt;div class=""voie ",Tableau1[[#This Row],[Caractéristique]],"""&gt;&lt;h3&gt;",Tableau1[[#This Row],[Voie]],"&lt;/h3&gt;",Tableau1[[#This Row],[HTML_ligne]]),Tableau1[[#This Row],[HTML_ligne]]))</f>
        <v>&lt;/div&gt;&lt;div class="voie Intelligence"&gt;&lt;h3&gt;Sorcellerie de combat&lt;/h3&gt;&lt;div class="comp"&gt;&lt;h4 class="nom"&gt;Mage combattant&lt;/h4&gt;&lt;table class="spec"&gt;&lt;tr&gt;&lt;td class="left"&gt;&lt;span class="passive"&gt;Action passive&lt;/span&gt;&lt;span class="apprentissage"&gt;Apprentissage : &lt;span&gt;Intelligence 10&lt;/span&gt;&lt;/span&gt;&lt;/td&gt;&lt;td class="right"&gt;&lt;p&gt;Exécution : &lt;span&gt;-&lt;/span&gt;&lt;/p&gt;&lt;p&gt;Souffle : &lt;span class="jauge"&gt;-&lt;/span&gt;&lt;/p&gt;&lt;p&gt;Concentration : &lt;span class="jauge"&gt;-&lt;/span&gt;&lt;/p&gt;&lt;/td&gt;&lt;/tr&gt;&lt;/table class=""spec""&gt;&lt;div class="effets"&gt;Lancer un sort devient une action de combat.&lt;/div&gt;&lt;/div&gt;</v>
      </c>
    </row>
    <row r="76" spans="1:33" x14ac:dyDescent="0.25">
      <c r="B76" s="3" t="s">
        <v>134</v>
      </c>
      <c r="D76" s="3" t="s">
        <v>138</v>
      </c>
      <c r="E76" s="4">
        <f>IFERROR(VLOOKUP(Tableau1[[#This Row],[Niveau]],Tableau2[],2,FALSE),"")</f>
        <v>0</v>
      </c>
      <c r="F76" s="3" t="s">
        <v>127</v>
      </c>
      <c r="K76" s="10" t="b">
        <v>1</v>
      </c>
      <c r="N76" s="4" t="b">
        <f>IF(Tableau1[[#This Row],[Niveau]]=0,TRUE,FALSE)</f>
        <v>1</v>
      </c>
      <c r="O76" s="5" t="s">
        <v>139</v>
      </c>
      <c r="Q76" s="6" t="s">
        <v>65</v>
      </c>
      <c r="R76" s="6" t="str">
        <f>CONCATENATE("&lt;h4 class=""nom""&gt;",Tableau1[[#This Row],[Nom]],"&lt;/h4&gt;")</f>
        <v>&lt;h4 class="nom"&gt;Mains brulantes&lt;/h4&gt;</v>
      </c>
      <c r="S76" s="6" t="s">
        <v>66</v>
      </c>
      <c r="T76" s="6" t="str">
        <f>IF(Tableau1[[#This Row],[Passif ?]],"&lt;span class=""passive""&gt;Action passive&lt;/span&gt;","")</f>
        <v>&lt;span class="passive"&gt;Action passive&lt;/span&gt;</v>
      </c>
      <c r="U76" s="6" t="str">
        <f>IF(ISBLANK(Tableau1[[#This Row],[Profil]]),"",CONCATENATE("&lt;span class=""profil""&gt;Profil ",Tableau1[[#This Row],[Profil]],"&lt;/span&gt;"))</f>
        <v/>
      </c>
      <c r="V76" s="6" t="str">
        <f>IF(Tableau1[[#This Row],[Innée ?]],"&lt;span class=""innee""&gt;Action innée&lt;/span&gt;","")</f>
        <v>&lt;span class="innee"&gt;Action innée&lt;/span&gt;</v>
      </c>
      <c r="W76" s="6" t="str">
        <f>IF(Tableau1[[#This Row],[Niveau]]&gt;0,CONCATENATE("&lt;span class=""apprentissage""&gt;Apprentissage : &lt;span&gt;",Tableau1[[#This Row],[Caractéristique]], " ",Tableau1[[#This Row],[Apprentissage]],"&lt;/span&gt;&lt;/span&gt;"),"")</f>
        <v/>
      </c>
      <c r="X76" s="6" t="s">
        <v>67</v>
      </c>
      <c r="Y76" s="6" t="str">
        <f>CONCATENATE("&lt;p&gt;Exécution : &lt;span&gt;", IF(Tableau1[[#This Row],[Exécution]]&gt;0,Tableau1[[#This Row],[Exécution]],"-"), "&lt;/span&gt;&lt;/p&gt;")</f>
        <v>&lt;p&gt;Exécution : &lt;span&gt;-&lt;/span&gt;&lt;/p&gt;</v>
      </c>
      <c r="Z76" s="6" t="str">
        <f>CONCATENATE("&lt;p&gt;Souffle : &lt;span class=""jauge""&gt;", IF(Tableau1[[#This Row],[Souffle]]&gt;0,Tableau1[[#This Row],[Souffle]],"-"), "&lt;/span&gt;&lt;/p&gt;")</f>
        <v>&lt;p&gt;Souffle : &lt;span class="jauge"&gt;-&lt;/span&gt;&lt;/p&gt;</v>
      </c>
      <c r="AA76" s="6" t="str">
        <f>CONCATENATE("&lt;p&gt;Concentration : &lt;span class=""jauge""&gt;",IF(Tableau1[[#This Row],[Concentration]]&gt;0,Tableau1[[#This Row],[Concentration]],"-"), "&lt;/span&gt;&lt;/p&gt;")</f>
        <v>&lt;p&gt;Concentration : &lt;span class="jauge"&gt;-&lt;/span&gt;&lt;/p&gt;</v>
      </c>
      <c r="AB76" s="6" t="str">
        <f>IF(Tableau1[[#This Row],[Adrénaline]]&gt;0,CONCATENATE("&lt;p&gt;Adrénaline : &lt;span class=""jauge""&gt;", Tableau1[[#This Row],[Adrénaline]], "&lt;/span&gt;&lt;/p&gt;"),"")</f>
        <v/>
      </c>
      <c r="AC76" s="6" t="s">
        <v>50</v>
      </c>
      <c r="AD76" s="6" t="str">
        <f>CONCATENATE("&lt;div class=""effets""&gt;",Tableau1[[#This Row],[Effets]],"&lt;/div&gt;")</f>
        <v>&lt;div class="effets"&gt;Quand le personnage lance un projectile magique sur une cible au corps à corps, il touche automatiquement.&lt;/div&gt;</v>
      </c>
      <c r="AE76" s="6" t="s">
        <v>64</v>
      </c>
      <c r="AF76" s="6" t="str">
        <f>CONCATENATE(Tableau1[[#This Row],[HTML_prefix]],Tableau1[[#This Row],[HTML_nom]],Tableau1[[#This Row],[HTML_specs_prefix]],Tableau1[[#This Row],[HTML_passif]],Tableau1[[#This Row],[HTML_profil]],Tableau1[[#This Row],[HTML_innée]],Tableau1[[#This Row],[HTML_apprentissage]],Tableau1[[#This Row],[HTML_specs_col]],Tableau1[[#This Row],[HTML_Execution]],Tableau1[[#This Row],[HTML_Souffle]],Tableau1[[#This Row],[HTML_Concentration]],Tableau1[[#This Row],[HTML_Adrénaline]],Tableau1[[#This Row],[HTML_specs_suffix]],Tableau1[[#This Row],[HTML_effets]],Tableau1[[#This Row],[HTML_suffix]])</f>
        <v>&lt;div class="comp"&gt;&lt;h4 class="nom"&gt;Mains brulantes&lt;/h4&gt;&lt;table class="spec"&gt;&lt;tr&gt;&lt;td class="left"&gt;&lt;span class="passive"&gt;Action passive&lt;/span&gt;&lt;span class="innee"&gt;Action innée&lt;/span&gt;&lt;/td&gt;&lt;td class="right"&gt;&lt;p&gt;Exécution : &lt;span&gt;-&lt;/span&gt;&lt;/p&gt;&lt;p&gt;Souffle : &lt;span class="jauge"&gt;-&lt;/span&gt;&lt;/p&gt;&lt;p&gt;Concentration : &lt;span class="jauge"&gt;-&lt;/span&gt;&lt;/p&gt;&lt;/td&gt;&lt;/tr&gt;&lt;/table class=""spec""&gt;&lt;div class="effets"&gt;Quand le personnage lance un projectile magique sur une cible au corps à corps, il touche automatiquement.&lt;/div&gt;&lt;/div&gt;</v>
      </c>
      <c r="AG76" s="8" t="str">
        <f>IF(ISBLANK(Tableau1[[#This Row],[Nom]]),"",IF(B76&lt;&gt;B75,CONCATENATE("&lt;/div&gt;&lt;div class=""voie ",Tableau1[[#This Row],[Caractéristique]],"""&gt;&lt;h3&gt;",Tableau1[[#This Row],[Voie]],"&lt;/h3&gt;",Tableau1[[#This Row],[HTML_ligne]]),Tableau1[[#This Row],[HTML_ligne]]))</f>
        <v>&lt;div class="comp"&gt;&lt;h4 class="nom"&gt;Mains brulantes&lt;/h4&gt;&lt;table class="spec"&gt;&lt;tr&gt;&lt;td class="left"&gt;&lt;span class="passive"&gt;Action passive&lt;/span&gt;&lt;span class="innee"&gt;Action innée&lt;/span&gt;&lt;/td&gt;&lt;td class="right"&gt;&lt;p&gt;Exécution : &lt;span&gt;-&lt;/span&gt;&lt;/p&gt;&lt;p&gt;Souffle : &lt;span class="jauge"&gt;-&lt;/span&gt;&lt;/p&gt;&lt;p&gt;Concentration : &lt;span class="jauge"&gt;-&lt;/span&gt;&lt;/p&gt;&lt;/td&gt;&lt;/tr&gt;&lt;/table class=""spec""&gt;&lt;div class="effets"&gt;Quand le personnage lance un projectile magique sur une cible au corps à corps, il touche automatiquement.&lt;/div&gt;&lt;/div&gt;</v>
      </c>
    </row>
    <row r="77" spans="1:33" x14ac:dyDescent="0.25">
      <c r="B77" s="3" t="s">
        <v>232</v>
      </c>
      <c r="C77" s="10">
        <v>1</v>
      </c>
      <c r="D77" s="3" t="s">
        <v>199</v>
      </c>
      <c r="E77" s="19">
        <f>IFERROR(VLOOKUP(Tableau1[[#This Row],[Niveau]],Tableau2[],2,FALSE),"")</f>
        <v>10</v>
      </c>
      <c r="F77" s="3" t="s">
        <v>59</v>
      </c>
      <c r="G77" s="10">
        <v>5</v>
      </c>
      <c r="H77" s="10">
        <v>1</v>
      </c>
      <c r="L77" s="10" t="b">
        <v>1</v>
      </c>
      <c r="M77" s="25" t="s">
        <v>36</v>
      </c>
      <c r="N77" s="19" t="b">
        <f>IF(Tableau1[[#This Row],[Niveau]]=0,TRUE,FALSE)</f>
        <v>0</v>
      </c>
      <c r="O77" s="5" t="s">
        <v>200</v>
      </c>
      <c r="R77" s="20" t="str">
        <f>CONCATENATE("&lt;h4 class=""nom""&gt;",Tableau1[[#This Row],[Nom]],"&lt;/h4&gt;")</f>
        <v>&lt;h4 class="nom"&gt;Coup de bouclier&lt;/h4&gt;</v>
      </c>
      <c r="S77" s="20"/>
      <c r="T77" s="20" t="str">
        <f>IF(Tableau1[[#This Row],[Passif ?]],"&lt;span class=""passive""&gt;Action passive&lt;/span&gt;","")</f>
        <v/>
      </c>
      <c r="U77" s="20" t="str">
        <f>IF(ISBLANK(Tableau1[[#This Row],[Profil]]),"",CONCATENATE("&lt;span class=""profil""&gt;Profil ",Tableau1[[#This Row],[Profil]],"&lt;/span&gt;"))</f>
        <v>&lt;span class="profil"&gt;Profil Puissant&lt;/span&gt;</v>
      </c>
      <c r="V77" s="20" t="str">
        <f>IF(Tableau1[[#This Row],[Innée ?]],"&lt;span class=""innee""&gt;Action innée&lt;/span&gt;","")</f>
        <v/>
      </c>
      <c r="W77" s="20" t="str">
        <f>IF(Tableau1[[#This Row],[Niveau]]&gt;0,CONCATENATE("&lt;span class=""apprentissage""&gt;Apprentissage : &lt;span&gt;",Tableau1[[#This Row],[Caractéristique]], " ",Tableau1[[#This Row],[Apprentissage]],"&lt;/span&gt;&lt;/span&gt;"),"")</f>
        <v>&lt;span class="apprentissage"&gt;Apprentissage : &lt;span&gt;Vigueur 10&lt;/span&gt;&lt;/span&gt;</v>
      </c>
      <c r="X77" s="20"/>
      <c r="Y77" s="20" t="str">
        <f>CONCATENATE("&lt;p&gt;Exécution : &lt;span&gt;", IF(Tableau1[[#This Row],[Exécution]]&gt;0,Tableau1[[#This Row],[Exécution]],"-"), "&lt;/span&gt;&lt;/p&gt;")</f>
        <v>&lt;p&gt;Exécution : &lt;span&gt;5&lt;/span&gt;&lt;/p&gt;</v>
      </c>
      <c r="Z77" s="20" t="str">
        <f>CONCATENATE("&lt;p&gt;Souffle : &lt;span class=""jauge""&gt;", IF(Tableau1[[#This Row],[Souffle]]&gt;0,Tableau1[[#This Row],[Souffle]],"-"), "&lt;/span&gt;&lt;/p&gt;")</f>
        <v>&lt;p&gt;Souffle : &lt;span class="jauge"&gt;1&lt;/span&gt;&lt;/p&gt;</v>
      </c>
      <c r="AA77" s="20" t="str">
        <f>CONCATENATE("&lt;p&gt;Concentration : &lt;span class=""jauge""&gt;",IF(Tableau1[[#This Row],[Concentration]]&gt;0,Tableau1[[#This Row],[Concentration]],"-"), "&lt;/span&gt;&lt;/p&gt;")</f>
        <v>&lt;p&gt;Concentration : &lt;span class="jauge"&gt;-&lt;/span&gt;&lt;/p&gt;</v>
      </c>
      <c r="AB77" s="20" t="str">
        <f>IF(Tableau1[[#This Row],[Adrénaline]]&gt;0,CONCATENATE("&lt;p&gt;Adrénaline : &lt;span class=""jauge""&gt;", Tableau1[[#This Row],[Adrénaline]], "&lt;/span&gt;&lt;/p&gt;"),"")</f>
        <v/>
      </c>
      <c r="AC77" s="20"/>
      <c r="AD77" s="20" t="str">
        <f>CONCATENATE("&lt;div class=""effets""&gt;",Tableau1[[#This Row],[Effets]],"&lt;/div&gt;")</f>
        <v>&lt;div class="effets"&gt;Un coup peu puissant mais qui déstabilise l'adversaire si l'attaque touche (peu importe si des dégâts sont infligés)&lt;/div&gt;</v>
      </c>
      <c r="AE77" s="20"/>
      <c r="AF77" s="20" t="str">
        <f>CONCATENATE(Tableau1[[#This Row],[HTML_prefix]],Tableau1[[#This Row],[HTML_nom]],Tableau1[[#This Row],[HTML_specs_prefix]],Tableau1[[#This Row],[HTML_passif]],Tableau1[[#This Row],[HTML_profil]],Tableau1[[#This Row],[HTML_innée]],Tableau1[[#This Row],[HTML_apprentissage]],Tableau1[[#This Row],[HTML_specs_col]],Tableau1[[#This Row],[HTML_Execution]],Tableau1[[#This Row],[HTML_Souffle]],Tableau1[[#This Row],[HTML_Concentration]],Tableau1[[#This Row],[HTML_Adrénaline]],Tableau1[[#This Row],[HTML_specs_suffix]],Tableau1[[#This Row],[HTML_effets]],Tableau1[[#This Row],[HTML_suffix]])</f>
        <v>&lt;h4 class="nom"&gt;Coup de bouclier&lt;/h4&gt;&lt;span class="profil"&gt;Profil Puissant&lt;/span&gt;&lt;span class="apprentissage"&gt;Apprentissage : &lt;span&gt;Vigueur 10&lt;/span&gt;&lt;/span&gt;&lt;p&gt;Exécution : &lt;span&gt;5&lt;/span&gt;&lt;/p&gt;&lt;p&gt;Souffle : &lt;span class="jauge"&gt;1&lt;/span&gt;&lt;/p&gt;&lt;p&gt;Concentration : &lt;span class="jauge"&gt;-&lt;/span&gt;&lt;/p&gt;&lt;div class="effets"&gt;Un coup peu puissant mais qui déstabilise l'adversaire si l'attaque touche (peu importe si des dégâts sont infligés)&lt;/div&gt;</v>
      </c>
      <c r="AG77" s="21" t="str">
        <f>IF(ISBLANK(Tableau1[[#This Row],[Nom]]),"",IF(B77&lt;&gt;B76,CONCATENATE("&lt;/div&gt;&lt;div class=""voie ",Tableau1[[#This Row],[Caractéristique]],"""&gt;&lt;h3&gt;",Tableau1[[#This Row],[Voie]],"&lt;/h3&gt;",Tableau1[[#This Row],[HTML_ligne]]),Tableau1[[#This Row],[HTML_ligne]]))</f>
        <v>&lt;/div&gt;&lt;div class="voie Vigueur"&gt;&lt;h3&gt;Protection&lt;/h3&gt;&lt;h4 class="nom"&gt;Coup de bouclier&lt;/h4&gt;&lt;span class="profil"&gt;Profil Puissant&lt;/span&gt;&lt;span class="apprentissage"&gt;Apprentissage : &lt;span&gt;Vigueur 10&lt;/span&gt;&lt;/span&gt;&lt;p&gt;Exécution : &lt;span&gt;5&lt;/span&gt;&lt;/p&gt;&lt;p&gt;Souffle : &lt;span class="jauge"&gt;1&lt;/span&gt;&lt;/p&gt;&lt;p&gt;Concentration : &lt;span class="jauge"&gt;-&lt;/span&gt;&lt;/p&gt;&lt;div class="effets"&gt;Un coup peu puissant mais qui déstabilise l'adversaire si l'attaque touche (peu importe si des dégâts sont infligés)&lt;/div&gt;</v>
      </c>
    </row>
    <row r="78" spans="1:33" ht="45" x14ac:dyDescent="0.25">
      <c r="B78" s="3" t="s">
        <v>232</v>
      </c>
      <c r="C78" s="10">
        <v>2</v>
      </c>
      <c r="D78" s="3" t="s">
        <v>201</v>
      </c>
      <c r="E78" s="19">
        <f>IFERROR(VLOOKUP(Tableau1[[#This Row],[Niveau]],Tableau2[],2,FALSE),"")</f>
        <v>15</v>
      </c>
      <c r="F78" s="3" t="s">
        <v>58</v>
      </c>
      <c r="H78" s="10">
        <v>1</v>
      </c>
      <c r="K78" s="10" t="b">
        <v>1</v>
      </c>
      <c r="N78" s="19" t="b">
        <f>IF(Tableau1[[#This Row],[Niveau]]=0,TRUE,FALSE)</f>
        <v>0</v>
      </c>
      <c r="O78" s="5" t="s">
        <v>202</v>
      </c>
      <c r="R78" s="20" t="str">
        <f>CONCATENATE("&lt;h4 class=""nom""&gt;",Tableau1[[#This Row],[Nom]],"&lt;/h4&gt;")</f>
        <v>&lt;h4 class="nom"&gt;Protecteur&lt;/h4&gt;</v>
      </c>
      <c r="S78" s="20"/>
      <c r="T78" s="20" t="str">
        <f>IF(Tableau1[[#This Row],[Passif ?]],"&lt;span class=""passive""&gt;Action passive&lt;/span&gt;","")</f>
        <v>&lt;span class="passive"&gt;Action passive&lt;/span&gt;</v>
      </c>
      <c r="U78" s="20" t="str">
        <f>IF(ISBLANK(Tableau1[[#This Row],[Profil]]),"",CONCATENATE("&lt;span class=""profil""&gt;Profil ",Tableau1[[#This Row],[Profil]],"&lt;/span&gt;"))</f>
        <v/>
      </c>
      <c r="V78" s="20" t="str">
        <f>IF(Tableau1[[#This Row],[Innée ?]],"&lt;span class=""innee""&gt;Action innée&lt;/span&gt;","")</f>
        <v/>
      </c>
      <c r="W78" s="20" t="str">
        <f>IF(Tableau1[[#This Row],[Niveau]]&gt;0,CONCATENATE("&lt;span class=""apprentissage""&gt;Apprentissage : &lt;span&gt;",Tableau1[[#This Row],[Caractéristique]], " ",Tableau1[[#This Row],[Apprentissage]],"&lt;/span&gt;&lt;/span&gt;"),"")</f>
        <v>&lt;span class="apprentissage"&gt;Apprentissage : &lt;span&gt;Adresse 15&lt;/span&gt;&lt;/span&gt;</v>
      </c>
      <c r="X78" s="20"/>
      <c r="Y78" s="20" t="str">
        <f>CONCATENATE("&lt;p&gt;Exécution : &lt;span&gt;", IF(Tableau1[[#This Row],[Exécution]]&gt;0,Tableau1[[#This Row],[Exécution]],"-"), "&lt;/span&gt;&lt;/p&gt;")</f>
        <v>&lt;p&gt;Exécution : &lt;span&gt;-&lt;/span&gt;&lt;/p&gt;</v>
      </c>
      <c r="Z78" s="20" t="str">
        <f>CONCATENATE("&lt;p&gt;Souffle : &lt;span class=""jauge""&gt;", IF(Tableau1[[#This Row],[Souffle]]&gt;0,Tableau1[[#This Row],[Souffle]],"-"), "&lt;/span&gt;&lt;/p&gt;")</f>
        <v>&lt;p&gt;Souffle : &lt;span class="jauge"&gt;1&lt;/span&gt;&lt;/p&gt;</v>
      </c>
      <c r="AA78" s="20" t="str">
        <f>CONCATENATE("&lt;p&gt;Concentration : &lt;span class=""jauge""&gt;",IF(Tableau1[[#This Row],[Concentration]]&gt;0,Tableau1[[#This Row],[Concentration]],"-"), "&lt;/span&gt;&lt;/p&gt;")</f>
        <v>&lt;p&gt;Concentration : &lt;span class="jauge"&gt;-&lt;/span&gt;&lt;/p&gt;</v>
      </c>
      <c r="AB78" s="20" t="str">
        <f>IF(Tableau1[[#This Row],[Adrénaline]]&gt;0,CONCATENATE("&lt;p&gt;Adrénaline : &lt;span class=""jauge""&gt;", Tableau1[[#This Row],[Adrénaline]], "&lt;/span&gt;&lt;/p&gt;"),"")</f>
        <v/>
      </c>
      <c r="AC78" s="20"/>
      <c r="AD78" s="20" t="str">
        <f>CONCATENATE("&lt;div class=""effets""&gt;",Tableau1[[#This Row],[Effets]],"&lt;/div&gt;")</f>
        <v>&lt;div class="effets"&gt;Si le personnage est au contact d'un allié pris pour cible par un ennemi, il peut réaliser une parade pour protéger son allié. L'allié aussi peut décider de réagir à l'attaque (en parant ou en esquivant par exemple). L'allié prend sa décision, puis le personnage et enfin les actions sont résolues. La parade réalisée par le personnage nécessitera un surcout en concentration et subira un malus de -5.&lt;/div&gt;</v>
      </c>
      <c r="AE78" s="20"/>
      <c r="AF78" s="20" t="str">
        <f>CONCATENATE(Tableau1[[#This Row],[HTML_prefix]],Tableau1[[#This Row],[HTML_nom]],Tableau1[[#This Row],[HTML_specs_prefix]],Tableau1[[#This Row],[HTML_passif]],Tableau1[[#This Row],[HTML_profil]],Tableau1[[#This Row],[HTML_innée]],Tableau1[[#This Row],[HTML_apprentissage]],Tableau1[[#This Row],[HTML_specs_col]],Tableau1[[#This Row],[HTML_Execution]],Tableau1[[#This Row],[HTML_Souffle]],Tableau1[[#This Row],[HTML_Concentration]],Tableau1[[#This Row],[HTML_Adrénaline]],Tableau1[[#This Row],[HTML_specs_suffix]],Tableau1[[#This Row],[HTML_effets]],Tableau1[[#This Row],[HTML_suffix]])</f>
        <v>&lt;h4 class="nom"&gt;Protecteur&lt;/h4&gt;&lt;span class="passive"&gt;Action passive&lt;/span&gt;&lt;span class="apprentissage"&gt;Apprentissage : &lt;span&gt;Adresse 15&lt;/span&gt;&lt;/span&gt;&lt;p&gt;Exécution : &lt;span&gt;-&lt;/span&gt;&lt;/p&gt;&lt;p&gt;Souffle : &lt;span class="jauge"&gt;1&lt;/span&gt;&lt;/p&gt;&lt;p&gt;Concentration : &lt;span class="jauge"&gt;-&lt;/span&gt;&lt;/p&gt;&lt;div class="effets"&gt;Si le personnage est au contact d'un allié pris pour cible par un ennemi, il peut réaliser une parade pour protéger son allié. L'allié aussi peut décider de réagir à l'attaque (en parant ou en esquivant par exemple). L'allié prend sa décision, puis le personnage et enfin les actions sont résolues. La parade réalisée par le personnage nécessitera un surcout en concentration et subira un malus de -5.&lt;/div&gt;</v>
      </c>
      <c r="AG78" s="21" t="str">
        <f>IF(ISBLANK(Tableau1[[#This Row],[Nom]]),"",IF(B78&lt;&gt;B77,CONCATENATE("&lt;/div&gt;&lt;div class=""voie ",Tableau1[[#This Row],[Caractéristique]],"""&gt;&lt;h3&gt;",Tableau1[[#This Row],[Voie]],"&lt;/h3&gt;",Tableau1[[#This Row],[HTML_ligne]]),Tableau1[[#This Row],[HTML_ligne]]))</f>
        <v>&lt;h4 class="nom"&gt;Protecteur&lt;/h4&gt;&lt;span class="passive"&gt;Action passive&lt;/span&gt;&lt;span class="apprentissage"&gt;Apprentissage : &lt;span&gt;Adresse 15&lt;/span&gt;&lt;/span&gt;&lt;p&gt;Exécution : &lt;span&gt;-&lt;/span&gt;&lt;/p&gt;&lt;p&gt;Souffle : &lt;span class="jauge"&gt;1&lt;/span&gt;&lt;/p&gt;&lt;p&gt;Concentration : &lt;span class="jauge"&gt;-&lt;/span&gt;&lt;/p&gt;&lt;div class="effets"&gt;Si le personnage est au contact d'un allié pris pour cible par un ennemi, il peut réaliser une parade pour protéger son allié. L'allié aussi peut décider de réagir à l'attaque (en parant ou en esquivant par exemple). L'allié prend sa décision, puis le personnage et enfin les actions sont résolues. La parade réalisée par le personnage nécessitera un surcout en concentration et subira un malus de -5.&lt;/div&gt;</v>
      </c>
    </row>
    <row r="79" spans="1:33" x14ac:dyDescent="0.25">
      <c r="B79" s="3" t="s">
        <v>232</v>
      </c>
      <c r="C79" s="10">
        <v>1</v>
      </c>
      <c r="D79" s="3" t="s">
        <v>233</v>
      </c>
      <c r="E79" s="19">
        <f>IFERROR(VLOOKUP(Tableau1[[#This Row],[Niveau]],Tableau2[],2,FALSE),"")</f>
        <v>10</v>
      </c>
      <c r="F79" s="3" t="s">
        <v>59</v>
      </c>
      <c r="K79" s="10" t="b">
        <v>1</v>
      </c>
      <c r="N79" s="19" t="b">
        <f>IF(Tableau1[[#This Row],[Niveau]]=0,TRUE,FALSE)</f>
        <v>0</v>
      </c>
      <c r="O79" s="5" t="s">
        <v>234</v>
      </c>
      <c r="R79" s="20" t="str">
        <f>CONCATENATE("&lt;h4 class=""nom""&gt;",Tableau1[[#This Row],[Nom]],"&lt;/h4&gt;")</f>
        <v>&lt;h4 class="nom"&gt;Expert en armures&lt;/h4&gt;</v>
      </c>
      <c r="S79" s="20"/>
      <c r="T79" s="20" t="str">
        <f>IF(Tableau1[[#This Row],[Passif ?]],"&lt;span class=""passive""&gt;Action passive&lt;/span&gt;","")</f>
        <v>&lt;span class="passive"&gt;Action passive&lt;/span&gt;</v>
      </c>
      <c r="U79" s="20" t="str">
        <f>IF(ISBLANK(Tableau1[[#This Row],[Profil]]),"",CONCATENATE("&lt;span class=""profil""&gt;Profil ",Tableau1[[#This Row],[Profil]],"&lt;/span&gt;"))</f>
        <v/>
      </c>
      <c r="V79" s="20" t="str">
        <f>IF(Tableau1[[#This Row],[Innée ?]],"&lt;span class=""innee""&gt;Action innée&lt;/span&gt;","")</f>
        <v/>
      </c>
      <c r="W79" s="20" t="str">
        <f>IF(Tableau1[[#This Row],[Niveau]]&gt;0,CONCATENATE("&lt;span class=""apprentissage""&gt;Apprentissage : &lt;span&gt;",Tableau1[[#This Row],[Caractéristique]], " ",Tableau1[[#This Row],[Apprentissage]],"&lt;/span&gt;&lt;/span&gt;"),"")</f>
        <v>&lt;span class="apprentissage"&gt;Apprentissage : &lt;span&gt;Vigueur 10&lt;/span&gt;&lt;/span&gt;</v>
      </c>
      <c r="X79" s="20"/>
      <c r="Y79" s="20" t="str">
        <f>CONCATENATE("&lt;p&gt;Exécution : &lt;span&gt;", IF(Tableau1[[#This Row],[Exécution]]&gt;0,Tableau1[[#This Row],[Exécution]],"-"), "&lt;/span&gt;&lt;/p&gt;")</f>
        <v>&lt;p&gt;Exécution : &lt;span&gt;-&lt;/span&gt;&lt;/p&gt;</v>
      </c>
      <c r="Z79" s="20" t="str">
        <f>CONCATENATE("&lt;p&gt;Souffle : &lt;span class=""jauge""&gt;", IF(Tableau1[[#This Row],[Souffle]]&gt;0,Tableau1[[#This Row],[Souffle]],"-"), "&lt;/span&gt;&lt;/p&gt;")</f>
        <v>&lt;p&gt;Souffle : &lt;span class="jauge"&gt;-&lt;/span&gt;&lt;/p&gt;</v>
      </c>
      <c r="AA79" s="20" t="str">
        <f>CONCATENATE("&lt;p&gt;Concentration : &lt;span class=""jauge""&gt;",IF(Tableau1[[#This Row],[Concentration]]&gt;0,Tableau1[[#This Row],[Concentration]],"-"), "&lt;/span&gt;&lt;/p&gt;")</f>
        <v>&lt;p&gt;Concentration : &lt;span class="jauge"&gt;-&lt;/span&gt;&lt;/p&gt;</v>
      </c>
      <c r="AB79" s="20" t="str">
        <f>IF(Tableau1[[#This Row],[Adrénaline]]&gt;0,CONCATENATE("&lt;p&gt;Adrénaline : &lt;span class=""jauge""&gt;", Tableau1[[#This Row],[Adrénaline]], "&lt;/span&gt;&lt;/p&gt;"),"")</f>
        <v/>
      </c>
      <c r="AC79" s="20"/>
      <c r="AD79" s="20" t="str">
        <f>CONCATENATE("&lt;div class=""effets""&gt;",Tableau1[[#This Row],[Effets]],"&lt;/div&gt;")</f>
        <v>&lt;div class="effets"&gt;La protection des armures est augmentée de 1.&lt;/div&gt;</v>
      </c>
      <c r="AE79" s="20"/>
      <c r="AF79" s="20" t="str">
        <f>CONCATENATE(Tableau1[[#This Row],[HTML_prefix]],Tableau1[[#This Row],[HTML_nom]],Tableau1[[#This Row],[HTML_specs_prefix]],Tableau1[[#This Row],[HTML_passif]],Tableau1[[#This Row],[HTML_profil]],Tableau1[[#This Row],[HTML_innée]],Tableau1[[#This Row],[HTML_apprentissage]],Tableau1[[#This Row],[HTML_specs_col]],Tableau1[[#This Row],[HTML_Execution]],Tableau1[[#This Row],[HTML_Souffle]],Tableau1[[#This Row],[HTML_Concentration]],Tableau1[[#This Row],[HTML_Adrénaline]],Tableau1[[#This Row],[HTML_specs_suffix]],Tableau1[[#This Row],[HTML_effets]],Tableau1[[#This Row],[HTML_suffix]])</f>
        <v>&lt;h4 class="nom"&gt;Expert en armures&lt;/h4&gt;&lt;span class="passive"&gt;Action passive&lt;/span&gt;&lt;span class="apprentissage"&gt;Apprentissage : &lt;span&gt;Vigueur 10&lt;/span&gt;&lt;/span&gt;&lt;p&gt;Exécution : &lt;span&gt;-&lt;/span&gt;&lt;/p&gt;&lt;p&gt;Souffle : &lt;span class="jauge"&gt;-&lt;/span&gt;&lt;/p&gt;&lt;p&gt;Concentration : &lt;span class="jauge"&gt;-&lt;/span&gt;&lt;/p&gt;&lt;div class="effets"&gt;La protection des armures est augmentée de 1.&lt;/div&gt;</v>
      </c>
      <c r="AG79" s="21" t="str">
        <f>IF(ISBLANK(Tableau1[[#This Row],[Nom]]),"",IF(B79&lt;&gt;B78,CONCATENATE("&lt;/div&gt;&lt;div class=""voie ",Tableau1[[#This Row],[Caractéristique]],"""&gt;&lt;h3&gt;",Tableau1[[#This Row],[Voie]],"&lt;/h3&gt;",Tableau1[[#This Row],[HTML_ligne]]),Tableau1[[#This Row],[HTML_ligne]]))</f>
        <v>&lt;h4 class="nom"&gt;Expert en armures&lt;/h4&gt;&lt;span class="passive"&gt;Action passive&lt;/span&gt;&lt;span class="apprentissage"&gt;Apprentissage : &lt;span&gt;Vigueur 10&lt;/span&gt;&lt;/span&gt;&lt;p&gt;Exécution : &lt;span&gt;-&lt;/span&gt;&lt;/p&gt;&lt;p&gt;Souffle : &lt;span class="jauge"&gt;-&lt;/span&gt;&lt;/p&gt;&lt;p&gt;Concentration : &lt;span class="jauge"&gt;-&lt;/span&gt;&lt;/p&gt;&lt;div class="effets"&gt;La protection des armures est augmentée de 1.&lt;/div&gt;</v>
      </c>
    </row>
    <row r="80" spans="1:33" x14ac:dyDescent="0.25">
      <c r="B80" s="3" t="s">
        <v>207</v>
      </c>
      <c r="C80" s="10">
        <v>1</v>
      </c>
      <c r="D80" s="3" t="s">
        <v>208</v>
      </c>
      <c r="E80" s="19">
        <f>IFERROR(VLOOKUP(Tableau1[[#This Row],[Niveau]],Tableau2[],2,FALSE),"")</f>
        <v>10</v>
      </c>
      <c r="F80" s="3" t="s">
        <v>127</v>
      </c>
      <c r="N80" s="19" t="b">
        <f>IF(Tableau1[[#This Row],[Niveau]]=0,TRUE,FALSE)</f>
        <v>0</v>
      </c>
      <c r="O80" s="5" t="s">
        <v>209</v>
      </c>
      <c r="R80" s="20" t="str">
        <f>CONCATENATE("&lt;h4 class=""nom""&gt;",Tableau1[[#This Row],[Nom]],"&lt;/h4&gt;")</f>
        <v>&lt;h4 class="nom"&gt;Pose des pièges&lt;/h4&gt;</v>
      </c>
      <c r="S80" s="20"/>
      <c r="T80" s="20" t="str">
        <f>IF(Tableau1[[#This Row],[Passif ?]],"&lt;span class=""passive""&gt;Action passive&lt;/span&gt;","")</f>
        <v/>
      </c>
      <c r="U80" s="20" t="str">
        <f>IF(ISBLANK(Tableau1[[#This Row],[Profil]]),"",CONCATENATE("&lt;span class=""profil""&gt;Profil ",Tableau1[[#This Row],[Profil]],"&lt;/span&gt;"))</f>
        <v/>
      </c>
      <c r="V80" s="20" t="str">
        <f>IF(Tableau1[[#This Row],[Innée ?]],"&lt;span class=""innee""&gt;Action innée&lt;/span&gt;","")</f>
        <v/>
      </c>
      <c r="W80" s="20" t="str">
        <f>IF(Tableau1[[#This Row],[Niveau]]&gt;0,CONCATENATE("&lt;span class=""apprentissage""&gt;Apprentissage : &lt;span&gt;",Tableau1[[#This Row],[Caractéristique]], " ",Tableau1[[#This Row],[Apprentissage]],"&lt;/span&gt;&lt;/span&gt;"),"")</f>
        <v>&lt;span class="apprentissage"&gt;Apprentissage : &lt;span&gt;Intelligence 10&lt;/span&gt;&lt;/span&gt;</v>
      </c>
      <c r="X80" s="20"/>
      <c r="Y80" s="20" t="str">
        <f>CONCATENATE("&lt;p&gt;Exécution : &lt;span&gt;", IF(Tableau1[[#This Row],[Exécution]]&gt;0,Tableau1[[#This Row],[Exécution]],"-"), "&lt;/span&gt;&lt;/p&gt;")</f>
        <v>&lt;p&gt;Exécution : &lt;span&gt;-&lt;/span&gt;&lt;/p&gt;</v>
      </c>
      <c r="Z80" s="20" t="str">
        <f>CONCATENATE("&lt;p&gt;Souffle : &lt;span class=""jauge""&gt;", IF(Tableau1[[#This Row],[Souffle]]&gt;0,Tableau1[[#This Row],[Souffle]],"-"), "&lt;/span&gt;&lt;/p&gt;")</f>
        <v>&lt;p&gt;Souffle : &lt;span class="jauge"&gt;-&lt;/span&gt;&lt;/p&gt;</v>
      </c>
      <c r="AA80" s="20" t="str">
        <f>CONCATENATE("&lt;p&gt;Concentration : &lt;span class=""jauge""&gt;",IF(Tableau1[[#This Row],[Concentration]]&gt;0,Tableau1[[#This Row],[Concentration]],"-"), "&lt;/span&gt;&lt;/p&gt;")</f>
        <v>&lt;p&gt;Concentration : &lt;span class="jauge"&gt;-&lt;/span&gt;&lt;/p&gt;</v>
      </c>
      <c r="AB80" s="20" t="str">
        <f>IF(Tableau1[[#This Row],[Adrénaline]]&gt;0,CONCATENATE("&lt;p&gt;Adrénaline : &lt;span class=""jauge""&gt;", Tableau1[[#This Row],[Adrénaline]], "&lt;/span&gt;&lt;/p&gt;"),"")</f>
        <v/>
      </c>
      <c r="AC80" s="20"/>
      <c r="AD80" s="20" t="str">
        <f>CONCATENATE("&lt;div class=""effets""&gt;",Tableau1[[#This Row],[Effets]],"&lt;/div&gt;")</f>
        <v>&lt;div class="effets"&gt;Le personnage sait poser la plupart des pièges.&lt;/div&gt;</v>
      </c>
      <c r="AE80" s="20"/>
      <c r="AF80" s="20" t="str">
        <f>CONCATENATE(Tableau1[[#This Row],[HTML_prefix]],Tableau1[[#This Row],[HTML_nom]],Tableau1[[#This Row],[HTML_specs_prefix]],Tableau1[[#This Row],[HTML_passif]],Tableau1[[#This Row],[HTML_profil]],Tableau1[[#This Row],[HTML_innée]],Tableau1[[#This Row],[HTML_apprentissage]],Tableau1[[#This Row],[HTML_specs_col]],Tableau1[[#This Row],[HTML_Execution]],Tableau1[[#This Row],[HTML_Souffle]],Tableau1[[#This Row],[HTML_Concentration]],Tableau1[[#This Row],[HTML_Adrénaline]],Tableau1[[#This Row],[HTML_specs_suffix]],Tableau1[[#This Row],[HTML_effets]],Tableau1[[#This Row],[HTML_suffix]])</f>
        <v>&lt;h4 class="nom"&gt;Pose des pièges&lt;/h4&gt;&lt;span class="apprentissage"&gt;Apprentissage : &lt;span&gt;Intelligence 10&lt;/span&gt;&lt;/span&gt;&lt;p&gt;Exécution : &lt;span&gt;-&lt;/span&gt;&lt;/p&gt;&lt;p&gt;Souffle : &lt;span class="jauge"&gt;-&lt;/span&gt;&lt;/p&gt;&lt;p&gt;Concentration : &lt;span class="jauge"&gt;-&lt;/span&gt;&lt;/p&gt;&lt;div class="effets"&gt;Le personnage sait poser la plupart des pièges.&lt;/div&gt;</v>
      </c>
      <c r="AG80" s="21" t="str">
        <f>IF(ISBLANK(Tableau1[[#This Row],[Nom]]),"",IF(B80&lt;&gt;B78,CONCATENATE("&lt;/div&gt;&lt;div class=""voie ",Tableau1[[#This Row],[Caractéristique]],"""&gt;&lt;h3&gt;",Tableau1[[#This Row],[Voie]],"&lt;/h3&gt;",Tableau1[[#This Row],[HTML_ligne]]),Tableau1[[#This Row],[HTML_ligne]]))</f>
        <v>&lt;/div&gt;&lt;div class="voie Intelligence"&gt;&lt;h3&gt;Assassinat&lt;/h3&gt;&lt;h4 class="nom"&gt;Pose des pièges&lt;/h4&gt;&lt;span class="apprentissage"&gt;Apprentissage : &lt;span&gt;Intelligence 10&lt;/span&gt;&lt;/span&gt;&lt;p&gt;Exécution : &lt;span&gt;-&lt;/span&gt;&lt;/p&gt;&lt;p&gt;Souffle : &lt;span class="jauge"&gt;-&lt;/span&gt;&lt;/p&gt;&lt;p&gt;Concentration : &lt;span class="jauge"&gt;-&lt;/span&gt;&lt;/p&gt;&lt;div class="effets"&gt;Le personnage sait poser la plupart des pièges.&lt;/div&gt;</v>
      </c>
    </row>
    <row r="81" spans="2:33" ht="45" x14ac:dyDescent="0.25">
      <c r="B81" s="3" t="s">
        <v>207</v>
      </c>
      <c r="C81" s="10">
        <v>1</v>
      </c>
      <c r="D81" s="3" t="s">
        <v>210</v>
      </c>
      <c r="E81" s="19">
        <f>IFERROR(VLOOKUP(Tableau1[[#This Row],[Niveau]],Tableau2[],2,FALSE),"")</f>
        <v>10</v>
      </c>
      <c r="F81" s="3" t="s">
        <v>58</v>
      </c>
      <c r="N81" s="19" t="b">
        <f>IF(Tableau1[[#This Row],[Niveau]]=0,TRUE,FALSE)</f>
        <v>0</v>
      </c>
      <c r="O81" s="5" t="s">
        <v>211</v>
      </c>
      <c r="R81" s="20" t="str">
        <f>CONCATENATE("&lt;h4 class=""nom""&gt;",Tableau1[[#This Row],[Nom]],"&lt;/h4&gt;")</f>
        <v>&lt;h4 class="nom"&gt;Discrétion&lt;/h4&gt;</v>
      </c>
      <c r="S81" s="20"/>
      <c r="T81" s="20" t="str">
        <f>IF(Tableau1[[#This Row],[Passif ?]],"&lt;span class=""passive""&gt;Action passive&lt;/span&gt;","")</f>
        <v/>
      </c>
      <c r="U81" s="20" t="str">
        <f>IF(ISBLANK(Tableau1[[#This Row],[Profil]]),"",CONCATENATE("&lt;span class=""profil""&gt;Profil ",Tableau1[[#This Row],[Profil]],"&lt;/span&gt;"))</f>
        <v/>
      </c>
      <c r="V81" s="20" t="str">
        <f>IF(Tableau1[[#This Row],[Innée ?]],"&lt;span class=""innee""&gt;Action innée&lt;/span&gt;","")</f>
        <v/>
      </c>
      <c r="W81" s="20" t="str">
        <f>IF(Tableau1[[#This Row],[Niveau]]&gt;0,CONCATENATE("&lt;span class=""apprentissage""&gt;Apprentissage : &lt;span&gt;",Tableau1[[#This Row],[Caractéristique]], " ",Tableau1[[#This Row],[Apprentissage]],"&lt;/span&gt;&lt;/span&gt;"),"")</f>
        <v>&lt;span class="apprentissage"&gt;Apprentissage : &lt;span&gt;Adresse 10&lt;/span&gt;&lt;/span&gt;</v>
      </c>
      <c r="X81" s="20"/>
      <c r="Y81" s="20" t="str">
        <f>CONCATENATE("&lt;p&gt;Exécution : &lt;span&gt;", IF(Tableau1[[#This Row],[Exécution]]&gt;0,Tableau1[[#This Row],[Exécution]],"-"), "&lt;/span&gt;&lt;/p&gt;")</f>
        <v>&lt;p&gt;Exécution : &lt;span&gt;-&lt;/span&gt;&lt;/p&gt;</v>
      </c>
      <c r="Z81" s="20" t="str">
        <f>CONCATENATE("&lt;p&gt;Souffle : &lt;span class=""jauge""&gt;", IF(Tableau1[[#This Row],[Souffle]]&gt;0,Tableau1[[#This Row],[Souffle]],"-"), "&lt;/span&gt;&lt;/p&gt;")</f>
        <v>&lt;p&gt;Souffle : &lt;span class="jauge"&gt;-&lt;/span&gt;&lt;/p&gt;</v>
      </c>
      <c r="AA81" s="20" t="str">
        <f>CONCATENATE("&lt;p&gt;Concentration : &lt;span class=""jauge""&gt;",IF(Tableau1[[#This Row],[Concentration]]&gt;0,Tableau1[[#This Row],[Concentration]],"-"), "&lt;/span&gt;&lt;/p&gt;")</f>
        <v>&lt;p&gt;Concentration : &lt;span class="jauge"&gt;-&lt;/span&gt;&lt;/p&gt;</v>
      </c>
      <c r="AB81" s="20" t="str">
        <f>IF(Tableau1[[#This Row],[Adrénaline]]&gt;0,CONCATENATE("&lt;p&gt;Adrénaline : &lt;span class=""jauge""&gt;", Tableau1[[#This Row],[Adrénaline]], "&lt;/span&gt;&lt;/p&gt;"),"")</f>
        <v/>
      </c>
      <c r="AC81" s="20"/>
      <c r="AD81" s="20" t="str">
        <f>CONCATENATE("&lt;div class=""effets""&gt;",Tableau1[[#This Row],[Effets]],"&lt;/div&gt;")</f>
        <v>&lt;div class="effets"&gt;Grâce à cette compétence, le personnage peut diminuer ses chances d’etre repéré. Lorsqu’il utilise une armure légère, il peut se déplacer sans émettre de son et en se cachant dans les ombres. Il ne sera détecté que par une personne le cherchant activement. Pour le détecter, celle-ci devra alors réussir un test opposé sur l'&lt;span class="stat"&gt;Intuition &lt;/span&gt; contre l'Adresse du personnage.&lt;/div&gt;</v>
      </c>
      <c r="AE81" s="20"/>
      <c r="AF81" s="20" t="str">
        <f>CONCATENATE(Tableau1[[#This Row],[HTML_prefix]],Tableau1[[#This Row],[HTML_nom]],Tableau1[[#This Row],[HTML_specs_prefix]],Tableau1[[#This Row],[HTML_passif]],Tableau1[[#This Row],[HTML_profil]],Tableau1[[#This Row],[HTML_innée]],Tableau1[[#This Row],[HTML_apprentissage]],Tableau1[[#This Row],[HTML_specs_col]],Tableau1[[#This Row],[HTML_Execution]],Tableau1[[#This Row],[HTML_Souffle]],Tableau1[[#This Row],[HTML_Concentration]],Tableau1[[#This Row],[HTML_Adrénaline]],Tableau1[[#This Row],[HTML_specs_suffix]],Tableau1[[#This Row],[HTML_effets]],Tableau1[[#This Row],[HTML_suffix]])</f>
        <v>&lt;h4 class="nom"&gt;Discrétion&lt;/h4&gt;&lt;span class="apprentissage"&gt;Apprentissage : &lt;span&gt;Adresse 10&lt;/span&gt;&lt;/span&gt;&lt;p&gt;Exécution : &lt;span&gt;-&lt;/span&gt;&lt;/p&gt;&lt;p&gt;Souffle : &lt;span class="jauge"&gt;-&lt;/span&gt;&lt;/p&gt;&lt;p&gt;Concentration : &lt;span class="jauge"&gt;-&lt;/span&gt;&lt;/p&gt;&lt;div class="effets"&gt;Grâce à cette compétence, le personnage peut diminuer ses chances d’etre repéré. Lorsqu’il utilise une armure légère, il peut se déplacer sans émettre de son et en se cachant dans les ombres. Il ne sera détecté que par une personne le cherchant activement. Pour le détecter, celle-ci devra alors réussir un test opposé sur l'&lt;span class="stat"&gt;Intuition &lt;/span&gt; contre l'Adresse du personnage.&lt;/div&gt;</v>
      </c>
      <c r="AG81" s="21" t="str">
        <f>IF(ISBLANK(Tableau1[[#This Row],[Nom]]),"",IF(B81&lt;&gt;B80,CONCATENATE("&lt;/div&gt;&lt;div class=""voie ",Tableau1[[#This Row],[Caractéristique]],"""&gt;&lt;h3&gt;",Tableau1[[#This Row],[Voie]],"&lt;/h3&gt;",Tableau1[[#This Row],[HTML_ligne]]),Tableau1[[#This Row],[HTML_ligne]]))</f>
        <v>&lt;h4 class="nom"&gt;Discrétion&lt;/h4&gt;&lt;span class="apprentissage"&gt;Apprentissage : &lt;span&gt;Adresse 10&lt;/span&gt;&lt;/span&gt;&lt;p&gt;Exécution : &lt;span&gt;-&lt;/span&gt;&lt;/p&gt;&lt;p&gt;Souffle : &lt;span class="jauge"&gt;-&lt;/span&gt;&lt;/p&gt;&lt;p&gt;Concentration : &lt;span class="jauge"&gt;-&lt;/span&gt;&lt;/p&gt;&lt;div class="effets"&gt;Grâce à cette compétence, le personnage peut diminuer ses chances d’etre repéré. Lorsqu’il utilise une armure légère, il peut se déplacer sans émettre de son et en se cachant dans les ombres. Il ne sera détecté que par une personne le cherchant activement. Pour le détecter, celle-ci devra alors réussir un test opposé sur l'&lt;span class="stat"&gt;Intuition &lt;/span&gt; contre l'Adresse du personnage.&lt;/div&gt;</v>
      </c>
    </row>
    <row r="82" spans="2:33" ht="30" x14ac:dyDescent="0.25">
      <c r="B82" s="3" t="s">
        <v>207</v>
      </c>
      <c r="C82" s="10">
        <v>2</v>
      </c>
      <c r="D82" s="3" t="s">
        <v>212</v>
      </c>
      <c r="E82" s="19">
        <f>IFERROR(VLOOKUP(Tableau1[[#This Row],[Niveau]],Tableau2[],2,FALSE),"")</f>
        <v>15</v>
      </c>
      <c r="F82" s="3" t="s">
        <v>58</v>
      </c>
      <c r="G82" s="10">
        <v>5</v>
      </c>
      <c r="I82" s="10">
        <v>1</v>
      </c>
      <c r="L82" s="10" t="b">
        <v>1</v>
      </c>
      <c r="M82" s="25" t="s">
        <v>37</v>
      </c>
      <c r="N82" s="19" t="b">
        <f>IF(Tableau1[[#This Row],[Niveau]]=0,TRUE,FALSE)</f>
        <v>0</v>
      </c>
      <c r="O82" s="5" t="s">
        <v>213</v>
      </c>
      <c r="R82" s="20" t="str">
        <f>CONCATENATE("&lt;h4 class=""nom""&gt;",Tableau1[[#This Row],[Nom]],"&lt;/h4&gt;")</f>
        <v>&lt;h4 class="nom"&gt;Sortie des ombres&lt;/h4&gt;</v>
      </c>
      <c r="S82" s="20"/>
      <c r="T82" s="20" t="str">
        <f>IF(Tableau1[[#This Row],[Passif ?]],"&lt;span class=""passive""&gt;Action passive&lt;/span&gt;","")</f>
        <v/>
      </c>
      <c r="U82" s="20" t="str">
        <f>IF(ISBLANK(Tableau1[[#This Row],[Profil]]),"",CONCATENATE("&lt;span class=""profil""&gt;Profil ",Tableau1[[#This Row],[Profil]],"&lt;/span&gt;"))</f>
        <v>&lt;span class="profil"&gt;Profil Précis&lt;/span&gt;</v>
      </c>
      <c r="V82" s="20" t="str">
        <f>IF(Tableau1[[#This Row],[Innée ?]],"&lt;span class=""innee""&gt;Action innée&lt;/span&gt;","")</f>
        <v/>
      </c>
      <c r="W82" s="20" t="str">
        <f>IF(Tableau1[[#This Row],[Niveau]]&gt;0,CONCATENATE("&lt;span class=""apprentissage""&gt;Apprentissage : &lt;span&gt;",Tableau1[[#This Row],[Caractéristique]], " ",Tableau1[[#This Row],[Apprentissage]],"&lt;/span&gt;&lt;/span&gt;"),"")</f>
        <v>&lt;span class="apprentissage"&gt;Apprentissage : &lt;span&gt;Adresse 15&lt;/span&gt;&lt;/span&gt;</v>
      </c>
      <c r="X82" s="20"/>
      <c r="Y82" s="20" t="str">
        <f>CONCATENATE("&lt;p&gt;Exécution : &lt;span&gt;", IF(Tableau1[[#This Row],[Exécution]]&gt;0,Tableau1[[#This Row],[Exécution]],"-"), "&lt;/span&gt;&lt;/p&gt;")</f>
        <v>&lt;p&gt;Exécution : &lt;span&gt;5&lt;/span&gt;&lt;/p&gt;</v>
      </c>
      <c r="Z82" s="20" t="str">
        <f>CONCATENATE("&lt;p&gt;Souffle : &lt;span class=""jauge""&gt;", IF(Tableau1[[#This Row],[Souffle]]&gt;0,Tableau1[[#This Row],[Souffle]],"-"), "&lt;/span&gt;&lt;/p&gt;")</f>
        <v>&lt;p&gt;Souffle : &lt;span class="jauge"&gt;-&lt;/span&gt;&lt;/p&gt;</v>
      </c>
      <c r="AA82" s="20" t="str">
        <f>CONCATENATE("&lt;p&gt;Concentration : &lt;span class=""jauge""&gt;",IF(Tableau1[[#This Row],[Concentration]]&gt;0,Tableau1[[#This Row],[Concentration]],"-"), "&lt;/span&gt;&lt;/p&gt;")</f>
        <v>&lt;p&gt;Concentration : &lt;span class="jauge"&gt;1&lt;/span&gt;&lt;/p&gt;</v>
      </c>
      <c r="AB82" s="20" t="str">
        <f>IF(Tableau1[[#This Row],[Adrénaline]]&gt;0,CONCATENATE("&lt;p&gt;Adrénaline : &lt;span class=""jauge""&gt;", Tableau1[[#This Row],[Adrénaline]], "&lt;/span&gt;&lt;/p&gt;"),"")</f>
        <v/>
      </c>
      <c r="AC82" s="20"/>
      <c r="AD82" s="20" t="str">
        <f>CONCATENATE("&lt;div class=""effets""&gt;",Tableau1[[#This Row],[Effets]],"&lt;/div&gt;")</f>
        <v>&lt;div class="effets"&gt;Une attaque pouvant être réalisée uniquement sur une cible ignorant la présence du personnage. La cible ne peut pas réagir face à cette attaque et subira les dégâts maximums.&lt;/div&gt;</v>
      </c>
      <c r="AE82" s="20"/>
      <c r="AF82" s="20" t="str">
        <f>CONCATENATE(Tableau1[[#This Row],[HTML_prefix]],Tableau1[[#This Row],[HTML_nom]],Tableau1[[#This Row],[HTML_specs_prefix]],Tableau1[[#This Row],[HTML_passif]],Tableau1[[#This Row],[HTML_profil]],Tableau1[[#This Row],[HTML_innée]],Tableau1[[#This Row],[HTML_apprentissage]],Tableau1[[#This Row],[HTML_specs_col]],Tableau1[[#This Row],[HTML_Execution]],Tableau1[[#This Row],[HTML_Souffle]],Tableau1[[#This Row],[HTML_Concentration]],Tableau1[[#This Row],[HTML_Adrénaline]],Tableau1[[#This Row],[HTML_specs_suffix]],Tableau1[[#This Row],[HTML_effets]],Tableau1[[#This Row],[HTML_suffix]])</f>
        <v>&lt;h4 class="nom"&gt;Sortie des ombres&lt;/h4&gt;&lt;span class="profil"&gt;Profil Précis&lt;/span&gt;&lt;span class="apprentissage"&gt;Apprentissage : &lt;span&gt;Adresse 15&lt;/span&gt;&lt;/span&gt;&lt;p&gt;Exécution : &lt;span&gt;5&lt;/span&gt;&lt;/p&gt;&lt;p&gt;Souffle : &lt;span class="jauge"&gt;-&lt;/span&gt;&lt;/p&gt;&lt;p&gt;Concentration : &lt;span class="jauge"&gt;1&lt;/span&gt;&lt;/p&gt;&lt;div class="effets"&gt;Une attaque pouvant être réalisée uniquement sur une cible ignorant la présence du personnage. La cible ne peut pas réagir face à cette attaque et subira les dégâts maximums.&lt;/div&gt;</v>
      </c>
      <c r="AG82" s="21" t="str">
        <f>IF(ISBLANK(Tableau1[[#This Row],[Nom]]),"",IF(B82&lt;&gt;B81,CONCATENATE("&lt;/div&gt;&lt;div class=""voie ",Tableau1[[#This Row],[Caractéristique]],"""&gt;&lt;h3&gt;",Tableau1[[#This Row],[Voie]],"&lt;/h3&gt;",Tableau1[[#This Row],[HTML_ligne]]),Tableau1[[#This Row],[HTML_ligne]]))</f>
        <v>&lt;h4 class="nom"&gt;Sortie des ombres&lt;/h4&gt;&lt;span class="profil"&gt;Profil Précis&lt;/span&gt;&lt;span class="apprentissage"&gt;Apprentissage : &lt;span&gt;Adresse 15&lt;/span&gt;&lt;/span&gt;&lt;p&gt;Exécution : &lt;span&gt;5&lt;/span&gt;&lt;/p&gt;&lt;p&gt;Souffle : &lt;span class="jauge"&gt;-&lt;/span&gt;&lt;/p&gt;&lt;p&gt;Concentration : &lt;span class="jauge"&gt;1&lt;/span&gt;&lt;/p&gt;&lt;div class="effets"&gt;Une attaque pouvant être réalisée uniquement sur une cible ignorant la présence du personnage. La cible ne peut pas réagir face à cette attaque et subira les dégâts maximums.&lt;/div&gt;</v>
      </c>
    </row>
    <row r="83" spans="2:33" ht="45" x14ac:dyDescent="0.25">
      <c r="B83" s="3" t="s">
        <v>220</v>
      </c>
      <c r="C83" s="10">
        <v>1</v>
      </c>
      <c r="D83" s="3" t="s">
        <v>218</v>
      </c>
      <c r="E83" s="19">
        <f>IFERROR(VLOOKUP(Tableau1[[#This Row],[Niveau]],Tableau2[],2,FALSE),"")</f>
        <v>10</v>
      </c>
      <c r="F83" s="3" t="s">
        <v>59</v>
      </c>
      <c r="G83" s="10">
        <v>1</v>
      </c>
      <c r="H83" s="10">
        <v>1</v>
      </c>
      <c r="N83" s="19" t="b">
        <f>IF(Tableau1[[#This Row],[Niveau]]=0,TRUE,FALSE)</f>
        <v>0</v>
      </c>
      <c r="O83" s="5" t="s">
        <v>219</v>
      </c>
      <c r="R83" s="20" t="str">
        <f>CONCATENATE("&lt;h4 class=""nom""&gt;",Tableau1[[#This Row],[Nom]],"&lt;/h4&gt;")</f>
        <v>&lt;h4 class="nom"&gt;Mutilation&lt;/h4&gt;</v>
      </c>
      <c r="S83" s="20"/>
      <c r="T83" s="20" t="str">
        <f>IF(Tableau1[[#This Row],[Passif ?]],"&lt;span class=""passive""&gt;Action passive&lt;/span&gt;","")</f>
        <v/>
      </c>
      <c r="U83" s="20" t="str">
        <f>IF(ISBLANK(Tableau1[[#This Row],[Profil]]),"",CONCATENATE("&lt;span class=""profil""&gt;Profil ",Tableau1[[#This Row],[Profil]],"&lt;/span&gt;"))</f>
        <v/>
      </c>
      <c r="V83" s="20" t="str">
        <f>IF(Tableau1[[#This Row],[Innée ?]],"&lt;span class=""innee""&gt;Action innée&lt;/span&gt;","")</f>
        <v/>
      </c>
      <c r="W83" s="20" t="str">
        <f>IF(Tableau1[[#This Row],[Niveau]]&gt;0,CONCATENATE("&lt;span class=""apprentissage""&gt;Apprentissage : &lt;span&gt;",Tableau1[[#This Row],[Caractéristique]], " ",Tableau1[[#This Row],[Apprentissage]],"&lt;/span&gt;&lt;/span&gt;"),"")</f>
        <v>&lt;span class="apprentissage"&gt;Apprentissage : &lt;span&gt;Vigueur 10&lt;/span&gt;&lt;/span&gt;</v>
      </c>
      <c r="X83" s="20"/>
      <c r="Y83" s="20" t="str">
        <f>CONCATENATE("&lt;p&gt;Exécution : &lt;span&gt;", IF(Tableau1[[#This Row],[Exécution]]&gt;0,Tableau1[[#This Row],[Exécution]],"-"), "&lt;/span&gt;&lt;/p&gt;")</f>
        <v>&lt;p&gt;Exécution : &lt;span&gt;1&lt;/span&gt;&lt;/p&gt;</v>
      </c>
      <c r="Z83" s="20" t="str">
        <f>CONCATENATE("&lt;p&gt;Souffle : &lt;span class=""jauge""&gt;", IF(Tableau1[[#This Row],[Souffle]]&gt;0,Tableau1[[#This Row],[Souffle]],"-"), "&lt;/span&gt;&lt;/p&gt;")</f>
        <v>&lt;p&gt;Souffle : &lt;span class="jauge"&gt;1&lt;/span&gt;&lt;/p&gt;</v>
      </c>
      <c r="AA83" s="20" t="str">
        <f>CONCATENATE("&lt;p&gt;Concentration : &lt;span class=""jauge""&gt;",IF(Tableau1[[#This Row],[Concentration]]&gt;0,Tableau1[[#This Row],[Concentration]],"-"), "&lt;/span&gt;&lt;/p&gt;")</f>
        <v>&lt;p&gt;Concentration : &lt;span class="jauge"&gt;-&lt;/span&gt;&lt;/p&gt;</v>
      </c>
      <c r="AB83" s="20" t="str">
        <f>IF(Tableau1[[#This Row],[Adrénaline]]&gt;0,CONCATENATE("&lt;p&gt;Adrénaline : &lt;span class=""jauge""&gt;", Tableau1[[#This Row],[Adrénaline]], "&lt;/span&gt;&lt;/p&gt;"),"")</f>
        <v/>
      </c>
      <c r="AC83" s="20"/>
      <c r="AD83" s="20" t="str">
        <f>CONCATENATE("&lt;div class=""effets""&gt;",Tableau1[[#This Row],[Effets]],"&lt;/div&gt;")</f>
        <v>&lt;div class="effets"&gt;Le personnage s'inflige lui même une blessure pour générer de l'adrénaline. Sur un test de &lt;span class="stat"&gt;Vigueur&lt;/span&gt; à 12 réussi, il s'inflige une blessure superficielle sur la localisation de son choix et gagne 2 points d'&lt;span class="jauge"&gt;Adrénaline&lt;/span&gt;. Le personnage n'a pas besoin de réaliser le test de résistance à la douleur lié à la blessure sauf si celle-ci transforme une blessure superficielle en blessure plus grave.&lt;/div&gt;</v>
      </c>
      <c r="AE83" s="20"/>
      <c r="AF83" s="20" t="str">
        <f>CONCATENATE(Tableau1[[#This Row],[HTML_prefix]],Tableau1[[#This Row],[HTML_nom]],Tableau1[[#This Row],[HTML_specs_prefix]],Tableau1[[#This Row],[HTML_passif]],Tableau1[[#This Row],[HTML_profil]],Tableau1[[#This Row],[HTML_innée]],Tableau1[[#This Row],[HTML_apprentissage]],Tableau1[[#This Row],[HTML_specs_col]],Tableau1[[#This Row],[HTML_Execution]],Tableau1[[#This Row],[HTML_Souffle]],Tableau1[[#This Row],[HTML_Concentration]],Tableau1[[#This Row],[HTML_Adrénaline]],Tableau1[[#This Row],[HTML_specs_suffix]],Tableau1[[#This Row],[HTML_effets]],Tableau1[[#This Row],[HTML_suffix]])</f>
        <v>&lt;h4 class="nom"&gt;Mutilation&lt;/h4&gt;&lt;span class="apprentissage"&gt;Apprentissage : &lt;span&gt;Vigueur 10&lt;/span&gt;&lt;/span&gt;&lt;p&gt;Exécution : &lt;span&gt;1&lt;/span&gt;&lt;/p&gt;&lt;p&gt;Souffle : &lt;span class="jauge"&gt;1&lt;/span&gt;&lt;/p&gt;&lt;p&gt;Concentration : &lt;span class="jauge"&gt;-&lt;/span&gt;&lt;/p&gt;&lt;div class="effets"&gt;Le personnage s'inflige lui même une blessure pour générer de l'adrénaline. Sur un test de &lt;span class="stat"&gt;Vigueur&lt;/span&gt; à 12 réussi, il s'inflige une blessure superficielle sur la localisation de son choix et gagne 2 points d'&lt;span class="jauge"&gt;Adrénaline&lt;/span&gt;. Le personnage n'a pas besoin de réaliser le test de résistance à la douleur lié à la blessure sauf si celle-ci transforme une blessure superficielle en blessure plus grave.&lt;/div&gt;</v>
      </c>
      <c r="AG83" s="21" t="str">
        <f>IF(ISBLANK(Tableau1[[#This Row],[Nom]]),"",IF(B83&lt;&gt;B82,CONCATENATE("&lt;/div&gt;&lt;div class=""voie ",Tableau1[[#This Row],[Caractéristique]],"""&gt;&lt;h3&gt;",Tableau1[[#This Row],[Voie]],"&lt;/h3&gt;",Tableau1[[#This Row],[HTML_ligne]]),Tableau1[[#This Row],[HTML_ligne]]))</f>
        <v>&lt;/div&gt;&lt;div class="voie Vigueur"&gt;&lt;h3&gt;Berseker&lt;/h3&gt;&lt;h4 class="nom"&gt;Mutilation&lt;/h4&gt;&lt;span class="apprentissage"&gt;Apprentissage : &lt;span&gt;Vigueur 10&lt;/span&gt;&lt;/span&gt;&lt;p&gt;Exécution : &lt;span&gt;1&lt;/span&gt;&lt;/p&gt;&lt;p&gt;Souffle : &lt;span class="jauge"&gt;1&lt;/span&gt;&lt;/p&gt;&lt;p&gt;Concentration : &lt;span class="jauge"&gt;-&lt;/span&gt;&lt;/p&gt;&lt;div class="effets"&gt;Le personnage s'inflige lui même une blessure pour générer de l'adrénaline. Sur un test de &lt;span class="stat"&gt;Vigueur&lt;/span&gt; à 12 réussi, il s'inflige une blessure superficielle sur la localisation de son choix et gagne 2 points d'&lt;span class="jauge"&gt;Adrénaline&lt;/span&gt;. Le personnage n'a pas besoin de réaliser le test de résistance à la douleur lié à la blessure sauf si celle-ci transforme une blessure superficielle en blessure plus grave.&lt;/div&gt;</v>
      </c>
    </row>
    <row r="84" spans="2:33" ht="60" x14ac:dyDescent="0.25">
      <c r="B84" s="3" t="s">
        <v>220</v>
      </c>
      <c r="C84" s="10">
        <v>2</v>
      </c>
      <c r="D84" s="3" t="s">
        <v>221</v>
      </c>
      <c r="E84" s="19">
        <f>IFERROR(VLOOKUP(Tableau1[[#This Row],[Niveau]],Tableau2[],2,FALSE),"")</f>
        <v>15</v>
      </c>
      <c r="F84" s="3" t="s">
        <v>59</v>
      </c>
      <c r="N84" s="19" t="b">
        <f>IF(Tableau1[[#This Row],[Niveau]]=0,TRUE,FALSE)</f>
        <v>0</v>
      </c>
      <c r="O84" s="5" t="s">
        <v>222</v>
      </c>
      <c r="R84" s="20" t="str">
        <f>CONCATENATE("&lt;h4 class=""nom""&gt;",Tableau1[[#This Row],[Nom]],"&lt;/h4&gt;")</f>
        <v>&lt;h4 class="nom"&gt;Frénésie&lt;/h4&gt;</v>
      </c>
      <c r="S84" s="20"/>
      <c r="T84" s="20" t="str">
        <f>IF(Tableau1[[#This Row],[Passif ?]],"&lt;span class=""passive""&gt;Action passive&lt;/span&gt;","")</f>
        <v/>
      </c>
      <c r="U84" s="20" t="str">
        <f>IF(ISBLANK(Tableau1[[#This Row],[Profil]]),"",CONCATENATE("&lt;span class=""profil""&gt;Profil ",Tableau1[[#This Row],[Profil]],"&lt;/span&gt;"))</f>
        <v/>
      </c>
      <c r="V84" s="20" t="str">
        <f>IF(Tableau1[[#This Row],[Innée ?]],"&lt;span class=""innee""&gt;Action innée&lt;/span&gt;","")</f>
        <v/>
      </c>
      <c r="W84" s="20" t="str">
        <f>IF(Tableau1[[#This Row],[Niveau]]&gt;0,CONCATENATE("&lt;span class=""apprentissage""&gt;Apprentissage : &lt;span&gt;",Tableau1[[#This Row],[Caractéristique]], " ",Tableau1[[#This Row],[Apprentissage]],"&lt;/span&gt;&lt;/span&gt;"),"")</f>
        <v>&lt;span class="apprentissage"&gt;Apprentissage : &lt;span&gt;Vigueur 15&lt;/span&gt;&lt;/span&gt;</v>
      </c>
      <c r="X84" s="20"/>
      <c r="Y84" s="20" t="str">
        <f>CONCATENATE("&lt;p&gt;Exécution : &lt;span&gt;", IF(Tableau1[[#This Row],[Exécution]]&gt;0,Tableau1[[#This Row],[Exécution]],"-"), "&lt;/span&gt;&lt;/p&gt;")</f>
        <v>&lt;p&gt;Exécution : &lt;span&gt;-&lt;/span&gt;&lt;/p&gt;</v>
      </c>
      <c r="Z84" s="20" t="str">
        <f>CONCATENATE("&lt;p&gt;Souffle : &lt;span class=""jauge""&gt;", IF(Tableau1[[#This Row],[Souffle]]&gt;0,Tableau1[[#This Row],[Souffle]],"-"), "&lt;/span&gt;&lt;/p&gt;")</f>
        <v>&lt;p&gt;Souffle : &lt;span class="jauge"&gt;-&lt;/span&gt;&lt;/p&gt;</v>
      </c>
      <c r="AA84" s="20" t="str">
        <f>CONCATENATE("&lt;p&gt;Concentration : &lt;span class=""jauge""&gt;",IF(Tableau1[[#This Row],[Concentration]]&gt;0,Tableau1[[#This Row],[Concentration]],"-"), "&lt;/span&gt;&lt;/p&gt;")</f>
        <v>&lt;p&gt;Concentration : &lt;span class="jauge"&gt;-&lt;/span&gt;&lt;/p&gt;</v>
      </c>
      <c r="AB84" s="20" t="str">
        <f>IF(Tableau1[[#This Row],[Adrénaline]]&gt;0,CONCATENATE("&lt;p&gt;Adrénaline : &lt;span class=""jauge""&gt;", Tableau1[[#This Row],[Adrénaline]], "&lt;/span&gt;&lt;/p&gt;"),"")</f>
        <v/>
      </c>
      <c r="AC84" s="20"/>
      <c r="AD84" s="20" t="str">
        <f>CONCATENATE("&lt;div class=""effets""&gt;",Tableau1[[#This Row],[Effets]],"&lt;/div&gt;")</f>
        <v>&lt;div class="effets"&gt;Le personnage décide de rentrer en frénésie au début de son tour sans cout. A partir de ce moment et jusqu'à ce que le personne ne dispose de plus aucun point d'&lt;span class="jauge"&gt;Adrénaline&lt;/span&gt;, chaque point d'&lt;span class="jauge"&gt;Adrénaline&lt;/span&gt; augmente les dégâts infligés par les attaques au corps à corps de +2. En contrepartie, chaque attaque échouée ou chaque action autre qu'une attaque fait perdre 1 point d'&lt;span class="jauge"&gt;Adrénaline&lt;/span&gt;.&lt;/div&gt;</v>
      </c>
      <c r="AE84" s="20"/>
      <c r="AF84" s="20" t="str">
        <f>CONCATENATE(Tableau1[[#This Row],[HTML_prefix]],Tableau1[[#This Row],[HTML_nom]],Tableau1[[#This Row],[HTML_specs_prefix]],Tableau1[[#This Row],[HTML_passif]],Tableau1[[#This Row],[HTML_profil]],Tableau1[[#This Row],[HTML_innée]],Tableau1[[#This Row],[HTML_apprentissage]],Tableau1[[#This Row],[HTML_specs_col]],Tableau1[[#This Row],[HTML_Execution]],Tableau1[[#This Row],[HTML_Souffle]],Tableau1[[#This Row],[HTML_Concentration]],Tableau1[[#This Row],[HTML_Adrénaline]],Tableau1[[#This Row],[HTML_specs_suffix]],Tableau1[[#This Row],[HTML_effets]],Tableau1[[#This Row],[HTML_suffix]])</f>
        <v>&lt;h4 class="nom"&gt;Frénésie&lt;/h4&gt;&lt;span class="apprentissage"&gt;Apprentissage : &lt;span&gt;Vigueur 15&lt;/span&gt;&lt;/span&gt;&lt;p&gt;Exécution : &lt;span&gt;-&lt;/span&gt;&lt;/p&gt;&lt;p&gt;Souffle : &lt;span class="jauge"&gt;-&lt;/span&gt;&lt;/p&gt;&lt;p&gt;Concentration : &lt;span class="jauge"&gt;-&lt;/span&gt;&lt;/p&gt;&lt;div class="effets"&gt;Le personnage décide de rentrer en frénésie au début de son tour sans cout. A partir de ce moment et jusqu'à ce que le personne ne dispose de plus aucun point d'&lt;span class="jauge"&gt;Adrénaline&lt;/span&gt;, chaque point d'&lt;span class="jauge"&gt;Adrénaline&lt;/span&gt; augmente les dégâts infligés par les attaques au corps à corps de +2. En contrepartie, chaque attaque échouée ou chaque action autre qu'une attaque fait perdre 1 point d'&lt;span class="jauge"&gt;Adrénaline&lt;/span&gt;.&lt;/div&gt;</v>
      </c>
      <c r="AG84" s="21" t="str">
        <f>IF(ISBLANK(Tableau1[[#This Row],[Nom]]),"",IF(B84&lt;&gt;B83,CONCATENATE("&lt;/div&gt;&lt;div class=""voie ",Tableau1[[#This Row],[Caractéristique]],"""&gt;&lt;h3&gt;",Tableau1[[#This Row],[Voie]],"&lt;/h3&gt;",Tableau1[[#This Row],[HTML_ligne]]),Tableau1[[#This Row],[HTML_ligne]]))</f>
        <v>&lt;h4 class="nom"&gt;Frénésie&lt;/h4&gt;&lt;span class="apprentissage"&gt;Apprentissage : &lt;span&gt;Vigueur 15&lt;/span&gt;&lt;/span&gt;&lt;p&gt;Exécution : &lt;span&gt;-&lt;/span&gt;&lt;/p&gt;&lt;p&gt;Souffle : &lt;span class="jauge"&gt;-&lt;/span&gt;&lt;/p&gt;&lt;p&gt;Concentration : &lt;span class="jauge"&gt;-&lt;/span&gt;&lt;/p&gt;&lt;div class="effets"&gt;Le personnage décide de rentrer en frénésie au début de son tour sans cout. A partir de ce moment et jusqu'à ce que le personne ne dispose de plus aucun point d'&lt;span class="jauge"&gt;Adrénaline&lt;/span&gt;, chaque point d'&lt;span class="jauge"&gt;Adrénaline&lt;/span&gt; augmente les dégâts infligés par les attaques au corps à corps de +2. En contrepartie, chaque attaque échouée ou chaque action autre qu'une attaque fait perdre 1 point d'&lt;span class="jauge"&gt;Adrénaline&lt;/span&gt;.&lt;/div&gt;</v>
      </c>
    </row>
    <row r="85" spans="2:33" ht="30" x14ac:dyDescent="0.25">
      <c r="B85" s="3" t="s">
        <v>220</v>
      </c>
      <c r="C85" s="10">
        <v>2</v>
      </c>
      <c r="D85" s="3" t="s">
        <v>223</v>
      </c>
      <c r="E85" s="19">
        <f>IFERROR(VLOOKUP(Tableau1[[#This Row],[Niveau]],Tableau2[],2,FALSE),"")</f>
        <v>15</v>
      </c>
      <c r="F85" s="3" t="s">
        <v>59</v>
      </c>
      <c r="J85" s="10">
        <v>1</v>
      </c>
      <c r="N85" s="19" t="b">
        <f>IF(Tableau1[[#This Row],[Niveau]]=0,TRUE,FALSE)</f>
        <v>0</v>
      </c>
      <c r="O85" s="5" t="s">
        <v>224</v>
      </c>
      <c r="R85" s="20" t="str">
        <f>CONCATENATE("&lt;h4 class=""nom""&gt;",Tableau1[[#This Row],[Nom]],"&lt;/h4&gt;")</f>
        <v>&lt;h4 class="nom"&gt;Furie guerrière&lt;/h4&gt;</v>
      </c>
      <c r="S85" s="20"/>
      <c r="T85" s="20" t="str">
        <f>IF(Tableau1[[#This Row],[Passif ?]],"&lt;span class=""passive""&gt;Action passive&lt;/span&gt;","")</f>
        <v/>
      </c>
      <c r="U85" s="20" t="str">
        <f>IF(ISBLANK(Tableau1[[#This Row],[Profil]]),"",CONCATENATE("&lt;span class=""profil""&gt;Profil ",Tableau1[[#This Row],[Profil]],"&lt;/span&gt;"))</f>
        <v/>
      </c>
      <c r="V85" s="20" t="str">
        <f>IF(Tableau1[[#This Row],[Innée ?]],"&lt;span class=""innee""&gt;Action innée&lt;/span&gt;","")</f>
        <v/>
      </c>
      <c r="W85" s="20" t="str">
        <f>IF(Tableau1[[#This Row],[Niveau]]&gt;0,CONCATENATE("&lt;span class=""apprentissage""&gt;Apprentissage : &lt;span&gt;",Tableau1[[#This Row],[Caractéristique]], " ",Tableau1[[#This Row],[Apprentissage]],"&lt;/span&gt;&lt;/span&gt;"),"")</f>
        <v>&lt;span class="apprentissage"&gt;Apprentissage : &lt;span&gt;Vigueur 15&lt;/span&gt;&lt;/span&gt;</v>
      </c>
      <c r="X85" s="20"/>
      <c r="Y85" s="20" t="str">
        <f>CONCATENATE("&lt;p&gt;Exécution : &lt;span&gt;", IF(Tableau1[[#This Row],[Exécution]]&gt;0,Tableau1[[#This Row],[Exécution]],"-"), "&lt;/span&gt;&lt;/p&gt;")</f>
        <v>&lt;p&gt;Exécution : &lt;span&gt;-&lt;/span&gt;&lt;/p&gt;</v>
      </c>
      <c r="Z85" s="20" t="str">
        <f>CONCATENATE("&lt;p&gt;Souffle : &lt;span class=""jauge""&gt;", IF(Tableau1[[#This Row],[Souffle]]&gt;0,Tableau1[[#This Row],[Souffle]],"-"), "&lt;/span&gt;&lt;/p&gt;")</f>
        <v>&lt;p&gt;Souffle : &lt;span class="jauge"&gt;-&lt;/span&gt;&lt;/p&gt;</v>
      </c>
      <c r="AA85" s="20" t="str">
        <f>CONCATENATE("&lt;p&gt;Concentration : &lt;span class=""jauge""&gt;",IF(Tableau1[[#This Row],[Concentration]]&gt;0,Tableau1[[#This Row],[Concentration]],"-"), "&lt;/span&gt;&lt;/p&gt;")</f>
        <v>&lt;p&gt;Concentration : &lt;span class="jauge"&gt;-&lt;/span&gt;&lt;/p&gt;</v>
      </c>
      <c r="AB85" s="20" t="str">
        <f>IF(Tableau1[[#This Row],[Adrénaline]]&gt;0,CONCATENATE("&lt;p&gt;Adrénaline : &lt;span class=""jauge""&gt;", Tableau1[[#This Row],[Adrénaline]], "&lt;/span&gt;&lt;/p&gt;"),"")</f>
        <v>&lt;p&gt;Adrénaline : &lt;span class="jauge"&gt;1&lt;/span&gt;&lt;/p&gt;</v>
      </c>
      <c r="AC85" s="20"/>
      <c r="AD85" s="20" t="str">
        <f>CONCATENATE("&lt;div class=""effets""&gt;",Tableau1[[#This Row],[Effets]],"&lt;/div&gt;")</f>
        <v>&lt;div class="effets"&gt; A déclencher au début d'un tour. Chaque ennemi defait au combat dans un rayon de 10m donne un bonus de +5 pour résister à la douleur pour 3 tours (les effets se cumulent et chaque nouvel effet renouvelle la durée).&lt;/div&gt;</v>
      </c>
      <c r="AE85" s="20"/>
      <c r="AF85" s="20" t="str">
        <f>CONCATENATE(Tableau1[[#This Row],[HTML_prefix]],Tableau1[[#This Row],[HTML_nom]],Tableau1[[#This Row],[HTML_specs_prefix]],Tableau1[[#This Row],[HTML_passif]],Tableau1[[#This Row],[HTML_profil]],Tableau1[[#This Row],[HTML_innée]],Tableau1[[#This Row],[HTML_apprentissage]],Tableau1[[#This Row],[HTML_specs_col]],Tableau1[[#This Row],[HTML_Execution]],Tableau1[[#This Row],[HTML_Souffle]],Tableau1[[#This Row],[HTML_Concentration]],Tableau1[[#This Row],[HTML_Adrénaline]],Tableau1[[#This Row],[HTML_specs_suffix]],Tableau1[[#This Row],[HTML_effets]],Tableau1[[#This Row],[HTML_suffix]])</f>
        <v>&lt;h4 class="nom"&gt;Furie guerrière&lt;/h4&gt;&lt;span class="apprentissage"&gt;Apprentissage : &lt;span&gt;Vigueur 15&lt;/span&gt;&lt;/span&gt;&lt;p&gt;Exécution : &lt;span&gt;-&lt;/span&gt;&lt;/p&gt;&lt;p&gt;Souffle : &lt;span class="jauge"&gt;-&lt;/span&gt;&lt;/p&gt;&lt;p&gt;Concentration : &lt;span class="jauge"&gt;-&lt;/span&gt;&lt;/p&gt;&lt;p&gt;Adrénaline : &lt;span class="jauge"&gt;1&lt;/span&gt;&lt;/p&gt;&lt;div class="effets"&gt; A déclencher au début d'un tour. Chaque ennemi defait au combat dans un rayon de 10m donne un bonus de +5 pour résister à la douleur pour 3 tours (les effets se cumulent et chaque nouvel effet renouvelle la durée).&lt;/div&gt;</v>
      </c>
      <c r="AG85" s="21" t="str">
        <f>IF(ISBLANK(Tableau1[[#This Row],[Nom]]),"",IF(B85&lt;&gt;B84,CONCATENATE("&lt;/div&gt;&lt;div class=""voie ",Tableau1[[#This Row],[Caractéristique]],"""&gt;&lt;h3&gt;",Tableau1[[#This Row],[Voie]],"&lt;/h3&gt;",Tableau1[[#This Row],[HTML_ligne]]),Tableau1[[#This Row],[HTML_ligne]]))</f>
        <v>&lt;h4 class="nom"&gt;Furie guerrière&lt;/h4&gt;&lt;span class="apprentissage"&gt;Apprentissage : &lt;span&gt;Vigueur 15&lt;/span&gt;&lt;/span&gt;&lt;p&gt;Exécution : &lt;span&gt;-&lt;/span&gt;&lt;/p&gt;&lt;p&gt;Souffle : &lt;span class="jauge"&gt;-&lt;/span&gt;&lt;/p&gt;&lt;p&gt;Concentration : &lt;span class="jauge"&gt;-&lt;/span&gt;&lt;/p&gt;&lt;p&gt;Adrénaline : &lt;span class="jauge"&gt;1&lt;/span&gt;&lt;/p&gt;&lt;div class="effets"&gt; A déclencher au début d'un tour. Chaque ennemi defait au combat dans un rayon de 10m donne un bonus de +5 pour résister à la douleur pour 3 tours (les effets se cumulent et chaque nouvel effet renouvelle la durée).&lt;/div&gt;</v>
      </c>
    </row>
    <row r="86" spans="2:33" ht="60" x14ac:dyDescent="0.25">
      <c r="B86" s="3" t="s">
        <v>225</v>
      </c>
      <c r="C86" s="10">
        <v>1</v>
      </c>
      <c r="D86" s="3" t="s">
        <v>226</v>
      </c>
      <c r="E86" s="19">
        <f>IFERROR(VLOOKUP(Tableau1[[#This Row],[Niveau]],Tableau2[],2,FALSE),"")</f>
        <v>10</v>
      </c>
      <c r="F86" s="3" t="s">
        <v>59</v>
      </c>
      <c r="G86" s="10">
        <v>1</v>
      </c>
      <c r="H86" s="10">
        <v>1</v>
      </c>
      <c r="L86" s="10" t="b">
        <v>1</v>
      </c>
      <c r="N86" s="19" t="b">
        <f>IF(Tableau1[[#This Row],[Niveau]]=0,TRUE,FALSE)</f>
        <v>0</v>
      </c>
      <c r="O86" s="5" t="s">
        <v>229</v>
      </c>
      <c r="R86" s="20" t="str">
        <f>CONCATENATE("&lt;h4 class=""nom""&gt;",Tableau1[[#This Row],[Nom]],"&lt;/h4&gt;")</f>
        <v>&lt;h4 class="nom"&gt;Retenir&lt;/h4&gt;</v>
      </c>
      <c r="S86" s="20"/>
      <c r="T86" s="20" t="str">
        <f>IF(Tableau1[[#This Row],[Passif ?]],"&lt;span class=""passive""&gt;Action passive&lt;/span&gt;","")</f>
        <v/>
      </c>
      <c r="U86" s="20" t="str">
        <f>IF(ISBLANK(Tableau1[[#This Row],[Profil]]),"",CONCATENATE("&lt;span class=""profil""&gt;Profil ",Tableau1[[#This Row],[Profil]],"&lt;/span&gt;"))</f>
        <v/>
      </c>
      <c r="V86" s="20" t="str">
        <f>IF(Tableau1[[#This Row],[Innée ?]],"&lt;span class=""innee""&gt;Action innée&lt;/span&gt;","")</f>
        <v/>
      </c>
      <c r="W86" s="20" t="str">
        <f>IF(Tableau1[[#This Row],[Niveau]]&gt;0,CONCATENATE("&lt;span class=""apprentissage""&gt;Apprentissage : &lt;span&gt;",Tableau1[[#This Row],[Caractéristique]], " ",Tableau1[[#This Row],[Apprentissage]],"&lt;/span&gt;&lt;/span&gt;"),"")</f>
        <v>&lt;span class="apprentissage"&gt;Apprentissage : &lt;span&gt;Vigueur 10&lt;/span&gt;&lt;/span&gt;</v>
      </c>
      <c r="X86" s="20"/>
      <c r="Y86" s="20" t="str">
        <f>CONCATENATE("&lt;p&gt;Exécution : &lt;span&gt;", IF(Tableau1[[#This Row],[Exécution]]&gt;0,Tableau1[[#This Row],[Exécution]],"-"), "&lt;/span&gt;&lt;/p&gt;")</f>
        <v>&lt;p&gt;Exécution : &lt;span&gt;1&lt;/span&gt;&lt;/p&gt;</v>
      </c>
      <c r="Z86" s="20" t="str">
        <f>CONCATENATE("&lt;p&gt;Souffle : &lt;span class=""jauge""&gt;", IF(Tableau1[[#This Row],[Souffle]]&gt;0,Tableau1[[#This Row],[Souffle]],"-"), "&lt;/span&gt;&lt;/p&gt;")</f>
        <v>&lt;p&gt;Souffle : &lt;span class="jauge"&gt;1&lt;/span&gt;&lt;/p&gt;</v>
      </c>
      <c r="AA86" s="20" t="str">
        <f>CONCATENATE("&lt;p&gt;Concentration : &lt;span class=""jauge""&gt;",IF(Tableau1[[#This Row],[Concentration]]&gt;0,Tableau1[[#This Row],[Concentration]],"-"), "&lt;/span&gt;&lt;/p&gt;")</f>
        <v>&lt;p&gt;Concentration : &lt;span class="jauge"&gt;-&lt;/span&gt;&lt;/p&gt;</v>
      </c>
      <c r="AB86" s="20" t="str">
        <f>IF(Tableau1[[#This Row],[Adrénaline]]&gt;0,CONCATENATE("&lt;p&gt;Adrénaline : &lt;span class=""jauge""&gt;", Tableau1[[#This Row],[Adrénaline]], "&lt;/span&gt;&lt;/p&gt;"),"")</f>
        <v/>
      </c>
      <c r="AC86" s="20"/>
      <c r="AD86" s="20" t="str">
        <f>CONCATENATE("&lt;div class=""effets""&gt;",Tableau1[[#This Row],[Effets]],"&lt;/div&gt;")</f>
        <v>&lt;div class="effets"&gt;Empêche un adversaire de rompre le combat. Lorsqu'un ennemi tente une action qui lui ferait quitter le corps à corps avec le personnage celui-ci peut tenter de le retenir. Le personnage réalise un test opposé de sa &lt;span class="stat"&gt;Vigueur&lt;/span&gt; contre la &lt;span class="stat"&gt;Vivacité&lt;/span&gt; ou la &lt;span class="stat"&gt;Vigueur&lt;/span&gt; de sa cible (au choix de la cible). En cas du succès, l'adversaire perd son action (le Souffle, la Concentration, Réactivité, ... sont tout de même dépensés)&lt;/div&gt;</v>
      </c>
      <c r="AE86" s="20"/>
      <c r="AF86" s="20" t="str">
        <f>CONCATENATE(Tableau1[[#This Row],[HTML_prefix]],Tableau1[[#This Row],[HTML_nom]],Tableau1[[#This Row],[HTML_specs_prefix]],Tableau1[[#This Row],[HTML_passif]],Tableau1[[#This Row],[HTML_profil]],Tableau1[[#This Row],[HTML_innée]],Tableau1[[#This Row],[HTML_apprentissage]],Tableau1[[#This Row],[HTML_specs_col]],Tableau1[[#This Row],[HTML_Execution]],Tableau1[[#This Row],[HTML_Souffle]],Tableau1[[#This Row],[HTML_Concentration]],Tableau1[[#This Row],[HTML_Adrénaline]],Tableau1[[#This Row],[HTML_specs_suffix]],Tableau1[[#This Row],[HTML_effets]],Tableau1[[#This Row],[HTML_suffix]])</f>
        <v>&lt;h4 class="nom"&gt;Retenir&lt;/h4&gt;&lt;span class="apprentissage"&gt;Apprentissage : &lt;span&gt;Vigueur 10&lt;/span&gt;&lt;/span&gt;&lt;p&gt;Exécution : &lt;span&gt;1&lt;/span&gt;&lt;/p&gt;&lt;p&gt;Souffle : &lt;span class="jauge"&gt;1&lt;/span&gt;&lt;/p&gt;&lt;p&gt;Concentration : &lt;span class="jauge"&gt;-&lt;/span&gt;&lt;/p&gt;&lt;div class="effets"&gt;Empêche un adversaire de rompre le combat. Lorsqu'un ennemi tente une action qui lui ferait quitter le corps à corps avec le personnage celui-ci peut tenter de le retenir. Le personnage réalise un test opposé de sa &lt;span class="stat"&gt;Vigueur&lt;/span&gt; contre la &lt;span class="stat"&gt;Vivacité&lt;/span&gt; ou la &lt;span class="stat"&gt;Vigueur&lt;/span&gt; de sa cible (au choix de la cible). En cas du succès, l'adversaire perd son action (le Souffle, la Concentration, Réactivité, ... sont tout de même dépensés)&lt;/div&gt;</v>
      </c>
      <c r="AG86" s="21" t="str">
        <f>IF(ISBLANK(Tableau1[[#This Row],[Nom]]),"",IF(B86&lt;&gt;B85,CONCATENATE("&lt;/div&gt;&lt;div class=""voie ",Tableau1[[#This Row],[Caractéristique]],"""&gt;&lt;h3&gt;",Tableau1[[#This Row],[Voie]],"&lt;/h3&gt;",Tableau1[[#This Row],[HTML_ligne]]),Tableau1[[#This Row],[HTML_ligne]]))</f>
        <v>&lt;/div&gt;&lt;div class="voie Vigueur"&gt;&lt;h3&gt;Brute&lt;/h3&gt;&lt;h4 class="nom"&gt;Retenir&lt;/h4&gt;&lt;span class="apprentissage"&gt;Apprentissage : &lt;span&gt;Vigueur 10&lt;/span&gt;&lt;/span&gt;&lt;p&gt;Exécution : &lt;span&gt;1&lt;/span&gt;&lt;/p&gt;&lt;p&gt;Souffle : &lt;span class="jauge"&gt;1&lt;/span&gt;&lt;/p&gt;&lt;p&gt;Concentration : &lt;span class="jauge"&gt;-&lt;/span&gt;&lt;/p&gt;&lt;div class="effets"&gt;Empêche un adversaire de rompre le combat. Lorsqu'un ennemi tente une action qui lui ferait quitter le corps à corps avec le personnage celui-ci peut tenter de le retenir. Le personnage réalise un test opposé de sa &lt;span class="stat"&gt;Vigueur&lt;/span&gt; contre la &lt;span class="stat"&gt;Vivacité&lt;/span&gt; ou la &lt;span class="stat"&gt;Vigueur&lt;/span&gt; de sa cible (au choix de la cible). En cas du succès, l'adversaire perd son action (le Souffle, la Concentration, Réactivité, ... sont tout de même dépensés)&lt;/div&gt;</v>
      </c>
    </row>
    <row r="87" spans="2:33" ht="75" x14ac:dyDescent="0.25">
      <c r="B87" s="3" t="s">
        <v>225</v>
      </c>
      <c r="C87" s="10">
        <v>1</v>
      </c>
      <c r="D87" s="3" t="s">
        <v>227</v>
      </c>
      <c r="E87" s="19">
        <f>IFERROR(VLOOKUP(Tableau1[[#This Row],[Niveau]],Tableau2[],2,FALSE),"")</f>
        <v>10</v>
      </c>
      <c r="F87" s="3" t="s">
        <v>59</v>
      </c>
      <c r="G87" s="10">
        <v>3</v>
      </c>
      <c r="H87" s="10">
        <v>1</v>
      </c>
      <c r="L87" s="10" t="b">
        <v>1</v>
      </c>
      <c r="N87" s="19" t="b">
        <f>IF(Tableau1[[#This Row],[Niveau]]=0,TRUE,FALSE)</f>
        <v>0</v>
      </c>
      <c r="O87" s="5" t="s">
        <v>230</v>
      </c>
      <c r="R87" s="20" t="str">
        <f>CONCATENATE("&lt;h4 class=""nom""&gt;",Tableau1[[#This Row],[Nom]],"&lt;/h4&gt;")</f>
        <v>&lt;h4 class="nom"&gt;Prise au corps&lt;/h4&gt;</v>
      </c>
      <c r="S87" s="20"/>
      <c r="T87" s="20" t="str">
        <f>IF(Tableau1[[#This Row],[Passif ?]],"&lt;span class=""passive""&gt;Action passive&lt;/span&gt;","")</f>
        <v/>
      </c>
      <c r="U87" s="20" t="str">
        <f>IF(ISBLANK(Tableau1[[#This Row],[Profil]]),"",CONCATENATE("&lt;span class=""profil""&gt;Profil ",Tableau1[[#This Row],[Profil]],"&lt;/span&gt;"))</f>
        <v/>
      </c>
      <c r="V87" s="20" t="str">
        <f>IF(Tableau1[[#This Row],[Innée ?]],"&lt;span class=""innee""&gt;Action innée&lt;/span&gt;","")</f>
        <v/>
      </c>
      <c r="W87" s="20" t="str">
        <f>IF(Tableau1[[#This Row],[Niveau]]&gt;0,CONCATENATE("&lt;span class=""apprentissage""&gt;Apprentissage : &lt;span&gt;",Tableau1[[#This Row],[Caractéristique]], " ",Tableau1[[#This Row],[Apprentissage]],"&lt;/span&gt;&lt;/span&gt;"),"")</f>
        <v>&lt;span class="apprentissage"&gt;Apprentissage : &lt;span&gt;Vigueur 10&lt;/span&gt;&lt;/span&gt;</v>
      </c>
      <c r="X87" s="20"/>
      <c r="Y87" s="20" t="str">
        <f>CONCATENATE("&lt;p&gt;Exécution : &lt;span&gt;", IF(Tableau1[[#This Row],[Exécution]]&gt;0,Tableau1[[#This Row],[Exécution]],"-"), "&lt;/span&gt;&lt;/p&gt;")</f>
        <v>&lt;p&gt;Exécution : &lt;span&gt;3&lt;/span&gt;&lt;/p&gt;</v>
      </c>
      <c r="Z87" s="20" t="str">
        <f>CONCATENATE("&lt;p&gt;Souffle : &lt;span class=""jauge""&gt;", IF(Tableau1[[#This Row],[Souffle]]&gt;0,Tableau1[[#This Row],[Souffle]],"-"), "&lt;/span&gt;&lt;/p&gt;")</f>
        <v>&lt;p&gt;Souffle : &lt;span class="jauge"&gt;1&lt;/span&gt;&lt;/p&gt;</v>
      </c>
      <c r="AA87" s="20" t="str">
        <f>CONCATENATE("&lt;p&gt;Concentration : &lt;span class=""jauge""&gt;",IF(Tableau1[[#This Row],[Concentration]]&gt;0,Tableau1[[#This Row],[Concentration]],"-"), "&lt;/span&gt;&lt;/p&gt;")</f>
        <v>&lt;p&gt;Concentration : &lt;span class="jauge"&gt;-&lt;/span&gt;&lt;/p&gt;</v>
      </c>
      <c r="AB87" s="20" t="str">
        <f>IF(Tableau1[[#This Row],[Adrénaline]]&gt;0,CONCATENATE("&lt;p&gt;Adrénaline : &lt;span class=""jauge""&gt;", Tableau1[[#This Row],[Adrénaline]], "&lt;/span&gt;&lt;/p&gt;"),"")</f>
        <v/>
      </c>
      <c r="AC87" s="20"/>
      <c r="AD87" s="20" t="str">
        <f>CONCATENATE("&lt;div class=""effets""&gt;",Tableau1[[#This Row],[Effets]],"&lt;/div&gt;")</f>
        <v>&lt;div class="effets"&gt;Le personnage se saisit d'un adversaire pour l'empecher d'agir. Le personnage effectue un test opposé de sa &lt;span class="stat"&gt;Vigueur&lt;/span&gt; contre la &lt;span class="stat"&gt;Vigueur&lt;/span&gt; ou &lt;span class="stat"&gt;Adresse&lt;/span&gt; de l'adversaire (au choix de ce dernier). En cas de réussite, l'adversaire ne pourra que tenter de se libérer (action 1 Exécution, 1 Souffle) en réussissant un test de &lt;span class="stat"&gt;Vigueur&lt;/span&gt; opposé. Le personnage peut maintenir cette position à chaque tour tant qu'il continue à dépenser son &lt;span class="jauge"&gt;Souffle&lt;/span&gt; et peut se déplacer avec sa victime de la moitié de son mouvement.&lt;/div&gt;</v>
      </c>
      <c r="AE87" s="20"/>
      <c r="AF87" s="20" t="str">
        <f>CONCATENATE(Tableau1[[#This Row],[HTML_prefix]],Tableau1[[#This Row],[HTML_nom]],Tableau1[[#This Row],[HTML_specs_prefix]],Tableau1[[#This Row],[HTML_passif]],Tableau1[[#This Row],[HTML_profil]],Tableau1[[#This Row],[HTML_innée]],Tableau1[[#This Row],[HTML_apprentissage]],Tableau1[[#This Row],[HTML_specs_col]],Tableau1[[#This Row],[HTML_Execution]],Tableau1[[#This Row],[HTML_Souffle]],Tableau1[[#This Row],[HTML_Concentration]],Tableau1[[#This Row],[HTML_Adrénaline]],Tableau1[[#This Row],[HTML_specs_suffix]],Tableau1[[#This Row],[HTML_effets]],Tableau1[[#This Row],[HTML_suffix]])</f>
        <v>&lt;h4 class="nom"&gt;Prise au corps&lt;/h4&gt;&lt;span class="apprentissage"&gt;Apprentissage : &lt;span&gt;Vigueur 10&lt;/span&gt;&lt;/span&gt;&lt;p&gt;Exécution : &lt;span&gt;3&lt;/span&gt;&lt;/p&gt;&lt;p&gt;Souffle : &lt;span class="jauge"&gt;1&lt;/span&gt;&lt;/p&gt;&lt;p&gt;Concentration : &lt;span class="jauge"&gt;-&lt;/span&gt;&lt;/p&gt;&lt;div class="effets"&gt;Le personnage se saisit d'un adversaire pour l'empecher d'agir. Le personnage effectue un test opposé de sa &lt;span class="stat"&gt;Vigueur&lt;/span&gt; contre la &lt;span class="stat"&gt;Vigueur&lt;/span&gt; ou &lt;span class="stat"&gt;Adresse&lt;/span&gt; de l'adversaire (au choix de ce dernier). En cas de réussite, l'adversaire ne pourra que tenter de se libérer (action 1 Exécution, 1 Souffle) en réussissant un test de &lt;span class="stat"&gt;Vigueur&lt;/span&gt; opposé. Le personnage peut maintenir cette position à chaque tour tant qu'il continue à dépenser son &lt;span class="jauge"&gt;Souffle&lt;/span&gt; et peut se déplacer avec sa victime de la moitié de son mouvement.&lt;/div&gt;</v>
      </c>
      <c r="AG87" s="21" t="str">
        <f>IF(ISBLANK(Tableau1[[#This Row],[Nom]]),"",IF(B87&lt;&gt;B86,CONCATENATE("&lt;/div&gt;&lt;div class=""voie ",Tableau1[[#This Row],[Caractéristique]],"""&gt;&lt;h3&gt;",Tableau1[[#This Row],[Voie]],"&lt;/h3&gt;",Tableau1[[#This Row],[HTML_ligne]]),Tableau1[[#This Row],[HTML_ligne]]))</f>
        <v>&lt;h4 class="nom"&gt;Prise au corps&lt;/h4&gt;&lt;span class="apprentissage"&gt;Apprentissage : &lt;span&gt;Vigueur 10&lt;/span&gt;&lt;/span&gt;&lt;p&gt;Exécution : &lt;span&gt;3&lt;/span&gt;&lt;/p&gt;&lt;p&gt;Souffle : &lt;span class="jauge"&gt;1&lt;/span&gt;&lt;/p&gt;&lt;p&gt;Concentration : &lt;span class="jauge"&gt;-&lt;/span&gt;&lt;/p&gt;&lt;div class="effets"&gt;Le personnage se saisit d'un adversaire pour l'empecher d'agir. Le personnage effectue un test opposé de sa &lt;span class="stat"&gt;Vigueur&lt;/span&gt; contre la &lt;span class="stat"&gt;Vigueur&lt;/span&gt; ou &lt;span class="stat"&gt;Adresse&lt;/span&gt; de l'adversaire (au choix de ce dernier). En cas de réussite, l'adversaire ne pourra que tenter de se libérer (action 1 Exécution, 1 Souffle) en réussissant un test de &lt;span class="stat"&gt;Vigueur&lt;/span&gt; opposé. Le personnage peut maintenir cette position à chaque tour tant qu'il continue à dépenser son &lt;span class="jauge"&gt;Souffle&lt;/span&gt; et peut se déplacer avec sa victime de la moitié de son mouvement.&lt;/div&gt;</v>
      </c>
    </row>
    <row r="88" spans="2:33" ht="45" x14ac:dyDescent="0.25">
      <c r="B88" s="3" t="s">
        <v>235</v>
      </c>
      <c r="C88" s="10">
        <v>1</v>
      </c>
      <c r="D88" s="3" t="s">
        <v>236</v>
      </c>
      <c r="E88" s="19">
        <f>IFERROR(VLOOKUP(Tableau1[[#This Row],[Niveau]],Tableau2[],2,FALSE),"")</f>
        <v>10</v>
      </c>
      <c r="F88" s="3" t="s">
        <v>237</v>
      </c>
      <c r="G88" s="10">
        <v>3</v>
      </c>
      <c r="I88" s="10">
        <v>1</v>
      </c>
      <c r="N88" s="19" t="b">
        <f>IF(Tableau1[[#This Row],[Niveau]]=0,TRUE,FALSE)</f>
        <v>0</v>
      </c>
      <c r="O88" s="5" t="s">
        <v>246</v>
      </c>
      <c r="R88" s="20" t="str">
        <f>CONCATENATE("&lt;h4 class=""nom""&gt;",Tableau1[[#This Row],[Nom]],"&lt;/h4&gt;")</f>
        <v>&lt;h4 class="nom"&gt;Chant fortifiant&lt;/h4&gt;</v>
      </c>
      <c r="S88" s="20"/>
      <c r="T88" s="20" t="str">
        <f>IF(Tableau1[[#This Row],[Passif ?]],"&lt;span class=""passive""&gt;Action passive&lt;/span&gt;","")</f>
        <v/>
      </c>
      <c r="U88" s="20" t="str">
        <f>IF(ISBLANK(Tableau1[[#This Row],[Profil]]),"",CONCATENATE("&lt;span class=""profil""&gt;Profil ",Tableau1[[#This Row],[Profil]],"&lt;/span&gt;"))</f>
        <v/>
      </c>
      <c r="V88" s="20" t="str">
        <f>IF(Tableau1[[#This Row],[Innée ?]],"&lt;span class=""innee""&gt;Action innée&lt;/span&gt;","")</f>
        <v/>
      </c>
      <c r="W88" s="20" t="str">
        <f>IF(Tableau1[[#This Row],[Niveau]]&gt;0,CONCATENATE("&lt;span class=""apprentissage""&gt;Apprentissage : &lt;span&gt;",Tableau1[[#This Row],[Caractéristique]], " ",Tableau1[[#This Row],[Apprentissage]],"&lt;/span&gt;&lt;/span&gt;"),"")</f>
        <v>&lt;span class="apprentissage"&gt;Apprentissage : &lt;span&gt;Prestance 10&lt;/span&gt;&lt;/span&gt;</v>
      </c>
      <c r="X88" s="20"/>
      <c r="Y88" s="20" t="str">
        <f>CONCATENATE("&lt;p&gt;Exécution : &lt;span&gt;", IF(Tableau1[[#This Row],[Exécution]]&gt;0,Tableau1[[#This Row],[Exécution]],"-"), "&lt;/span&gt;&lt;/p&gt;")</f>
        <v>&lt;p&gt;Exécution : &lt;span&gt;3&lt;/span&gt;&lt;/p&gt;</v>
      </c>
      <c r="Z88" s="20" t="str">
        <f>CONCATENATE("&lt;p&gt;Souffle : &lt;span class=""jauge""&gt;", IF(Tableau1[[#This Row],[Souffle]]&gt;0,Tableau1[[#This Row],[Souffle]],"-"), "&lt;/span&gt;&lt;/p&gt;")</f>
        <v>&lt;p&gt;Souffle : &lt;span class="jauge"&gt;-&lt;/span&gt;&lt;/p&gt;</v>
      </c>
      <c r="AA88" s="20" t="str">
        <f>CONCATENATE("&lt;p&gt;Concentration : &lt;span class=""jauge""&gt;",IF(Tableau1[[#This Row],[Concentration]]&gt;0,Tableau1[[#This Row],[Concentration]],"-"), "&lt;/span&gt;&lt;/p&gt;")</f>
        <v>&lt;p&gt;Concentration : &lt;span class="jauge"&gt;1&lt;/span&gt;&lt;/p&gt;</v>
      </c>
      <c r="AB88" s="20" t="str">
        <f>IF(Tableau1[[#This Row],[Adrénaline]]&gt;0,CONCATENATE("&lt;p&gt;Adrénaline : &lt;span class=""jauge""&gt;", Tableau1[[#This Row],[Adrénaline]], "&lt;/span&gt;&lt;/p&gt;"),"")</f>
        <v/>
      </c>
      <c r="AC88" s="20"/>
      <c r="AD88" s="20" t="str">
        <f>CONCATENATE("&lt;div class=""effets""&gt;",Tableau1[[#This Row],[Effets]],"&lt;/div&gt;")</f>
        <v>&lt;div class="effets"&gt;Lorsque le personnage chante cette mélodie, ses alliés ressentent une paix intérieure revigorante.&lt;br /&gt;
Tout allié à moins de 5 mètres regagne  &lt;span class="stat"&gt;Prestance&lt;/span&gt;/10 (minimum 1) points de &lt;span class="jauge"&gt;Concentration&lt;/span&gt; et de&lt;span class="jauge"&gt; Souffle&lt;/span&gt;.&lt;/div&gt;</v>
      </c>
      <c r="AE88" s="20"/>
      <c r="AF88" s="20" t="str">
        <f>CONCATENATE(Tableau1[[#This Row],[HTML_prefix]],Tableau1[[#This Row],[HTML_nom]],Tableau1[[#This Row],[HTML_specs_prefix]],Tableau1[[#This Row],[HTML_passif]],Tableau1[[#This Row],[HTML_profil]],Tableau1[[#This Row],[HTML_innée]],Tableau1[[#This Row],[HTML_apprentissage]],Tableau1[[#This Row],[HTML_specs_col]],Tableau1[[#This Row],[HTML_Execution]],Tableau1[[#This Row],[HTML_Souffle]],Tableau1[[#This Row],[HTML_Concentration]],Tableau1[[#This Row],[HTML_Adrénaline]],Tableau1[[#This Row],[HTML_specs_suffix]],Tableau1[[#This Row],[HTML_effets]],Tableau1[[#This Row],[HTML_suffix]])</f>
        <v>&lt;h4 class="nom"&gt;Chant fortifiant&lt;/h4&gt;&lt;span class="apprentissage"&gt;Apprentissage : &lt;span&gt;Prestance 10&lt;/span&gt;&lt;/span&gt;&lt;p&gt;Exécution : &lt;span&gt;3&lt;/span&gt;&lt;/p&gt;&lt;p&gt;Souffle : &lt;span class="jauge"&gt;-&lt;/span&gt;&lt;/p&gt;&lt;p&gt;Concentration : &lt;span class="jauge"&gt;1&lt;/span&gt;&lt;/p&gt;&lt;div class="effets"&gt;Lorsque le personnage chante cette mélodie, ses alliés ressentent une paix intérieure revigorante.&lt;br /&gt;
Tout allié à moins de 5 mètres regagne  &lt;span class="stat"&gt;Prestance&lt;/span&gt;/10 (minimum 1) points de &lt;span class="jauge"&gt;Concentration&lt;/span&gt; et de&lt;span class="jauge"&gt; Souffle&lt;/span&gt;.&lt;/div&gt;</v>
      </c>
      <c r="AG88" s="21" t="e">
        <f>IF(ISBLANK(Tableau1[[#This Row],[Nom]]),"",IF(B88&lt;&gt;#REF!,CONCATENATE("&lt;/div&gt;&lt;div class=""voie ",Tableau1[[#This Row],[Caractéristique]],"""&gt;&lt;h3&gt;",Tableau1[[#This Row],[Voie]],"&lt;/h3&gt;",Tableau1[[#This Row],[HTML_ligne]]),Tableau1[[#This Row],[HTML_ligne]]))</f>
        <v>#REF!</v>
      </c>
    </row>
    <row r="89" spans="2:33" ht="45" x14ac:dyDescent="0.25">
      <c r="B89" s="3" t="s">
        <v>235</v>
      </c>
      <c r="C89" s="10">
        <v>1</v>
      </c>
      <c r="D89" s="3" t="s">
        <v>238</v>
      </c>
      <c r="E89" s="19">
        <f>IFERROR(VLOOKUP(Tableau1[[#This Row],[Niveau]],Tableau2[],2,FALSE),"")</f>
        <v>10</v>
      </c>
      <c r="F89" s="3" t="s">
        <v>237</v>
      </c>
      <c r="G89" s="10">
        <v>1</v>
      </c>
      <c r="H89" s="10">
        <v>1</v>
      </c>
      <c r="N89" s="19" t="b">
        <f>IF(Tableau1[[#This Row],[Niveau]]=0,TRUE,FALSE)</f>
        <v>0</v>
      </c>
      <c r="O89" s="5" t="s">
        <v>245</v>
      </c>
      <c r="R89" s="20" t="str">
        <f>CONCATENATE("&lt;h4 class=""nom""&gt;",Tableau1[[#This Row],[Nom]],"&lt;/h4&gt;")</f>
        <v>&lt;h4 class="nom"&gt;Tenez bon !&lt;/h4&gt;</v>
      </c>
      <c r="S89" s="20"/>
      <c r="T89" s="20" t="str">
        <f>IF(Tableau1[[#This Row],[Passif ?]],"&lt;span class=""passive""&gt;Action passive&lt;/span&gt;","")</f>
        <v/>
      </c>
      <c r="U89" s="20" t="str">
        <f>IF(ISBLANK(Tableau1[[#This Row],[Profil]]),"",CONCATENATE("&lt;span class=""profil""&gt;Profil ",Tableau1[[#This Row],[Profil]],"&lt;/span&gt;"))</f>
        <v/>
      </c>
      <c r="V89" s="20" t="str">
        <f>IF(Tableau1[[#This Row],[Innée ?]],"&lt;span class=""innee""&gt;Action innée&lt;/span&gt;","")</f>
        <v/>
      </c>
      <c r="W89" s="20" t="str">
        <f>IF(Tableau1[[#This Row],[Niveau]]&gt;0,CONCATENATE("&lt;span class=""apprentissage""&gt;Apprentissage : &lt;span&gt;",Tableau1[[#This Row],[Caractéristique]], " ",Tableau1[[#This Row],[Apprentissage]],"&lt;/span&gt;&lt;/span&gt;"),"")</f>
        <v>&lt;span class="apprentissage"&gt;Apprentissage : &lt;span&gt;Prestance 10&lt;/span&gt;&lt;/span&gt;</v>
      </c>
      <c r="X89" s="20"/>
      <c r="Y89" s="20" t="str">
        <f>CONCATENATE("&lt;p&gt;Exécution : &lt;span&gt;", IF(Tableau1[[#This Row],[Exécution]]&gt;0,Tableau1[[#This Row],[Exécution]],"-"), "&lt;/span&gt;&lt;/p&gt;")</f>
        <v>&lt;p&gt;Exécution : &lt;span&gt;1&lt;/span&gt;&lt;/p&gt;</v>
      </c>
      <c r="Z89" s="20" t="str">
        <f>CONCATENATE("&lt;p&gt;Souffle : &lt;span class=""jauge""&gt;", IF(Tableau1[[#This Row],[Souffle]]&gt;0,Tableau1[[#This Row],[Souffle]],"-"), "&lt;/span&gt;&lt;/p&gt;")</f>
        <v>&lt;p&gt;Souffle : &lt;span class="jauge"&gt;1&lt;/span&gt;&lt;/p&gt;</v>
      </c>
      <c r="AA89" s="20" t="str">
        <f>CONCATENATE("&lt;p&gt;Concentration : &lt;span class=""jauge""&gt;",IF(Tableau1[[#This Row],[Concentration]]&gt;0,Tableau1[[#This Row],[Concentration]],"-"), "&lt;/span&gt;&lt;/p&gt;")</f>
        <v>&lt;p&gt;Concentration : &lt;span class="jauge"&gt;-&lt;/span&gt;&lt;/p&gt;</v>
      </c>
      <c r="AB89" s="20" t="str">
        <f>IF(Tableau1[[#This Row],[Adrénaline]]&gt;0,CONCATENATE("&lt;p&gt;Adrénaline : &lt;span class=""jauge""&gt;", Tableau1[[#This Row],[Adrénaline]], "&lt;/span&gt;&lt;/p&gt;"),"")</f>
        <v/>
      </c>
      <c r="AC89" s="20"/>
      <c r="AD89" s="20" t="str">
        <f>CONCATENATE("&lt;div class=""effets""&gt;",Tableau1[[#This Row],[Effets]],"&lt;/div&gt;")</f>
        <v>&lt;div class="effets"&gt;Le personnage encourage ses alliés dans la bataille. Tous les aliés à 5m du personnage gagnent un bonus de &lt;span class="stat"&gt;Prestance&lt;/span&gt;/10 (minimum 1) pour résister à la Peur et à la Douleur temps que le personnage chante. Une fois le chant démarré, le personnage peut le continuer sans surcout tout en réalisant des actions innées.&lt;/div&gt;</v>
      </c>
      <c r="AE89" s="20"/>
      <c r="AF89" s="20" t="str">
        <f>CONCATENATE(Tableau1[[#This Row],[HTML_prefix]],Tableau1[[#This Row],[HTML_nom]],Tableau1[[#This Row],[HTML_specs_prefix]],Tableau1[[#This Row],[HTML_passif]],Tableau1[[#This Row],[HTML_profil]],Tableau1[[#This Row],[HTML_innée]],Tableau1[[#This Row],[HTML_apprentissage]],Tableau1[[#This Row],[HTML_specs_col]],Tableau1[[#This Row],[HTML_Execution]],Tableau1[[#This Row],[HTML_Souffle]],Tableau1[[#This Row],[HTML_Concentration]],Tableau1[[#This Row],[HTML_Adrénaline]],Tableau1[[#This Row],[HTML_specs_suffix]],Tableau1[[#This Row],[HTML_effets]],Tableau1[[#This Row],[HTML_suffix]])</f>
        <v>&lt;h4 class="nom"&gt;Tenez bon !&lt;/h4&gt;&lt;span class="apprentissage"&gt;Apprentissage : &lt;span&gt;Prestance 10&lt;/span&gt;&lt;/span&gt;&lt;p&gt;Exécution : &lt;span&gt;1&lt;/span&gt;&lt;/p&gt;&lt;p&gt;Souffle : &lt;span class="jauge"&gt;1&lt;/span&gt;&lt;/p&gt;&lt;p&gt;Concentration : &lt;span class="jauge"&gt;-&lt;/span&gt;&lt;/p&gt;&lt;div class="effets"&gt;Le personnage encourage ses alliés dans la bataille. Tous les aliés à 5m du personnage gagnent un bonus de &lt;span class="stat"&gt;Prestance&lt;/span&gt;/10 (minimum 1) pour résister à la Peur et à la Douleur temps que le personnage chante. Une fois le chant démarré, le personnage peut le continuer sans surcout tout en réalisant des actions innées.&lt;/div&gt;</v>
      </c>
      <c r="AG89" s="21" t="str">
        <f>IF(ISBLANK(Tableau1[[#This Row],[Nom]]),"",IF(B89&lt;&gt;B88,CONCATENATE("&lt;/div&gt;&lt;div class=""voie ",Tableau1[[#This Row],[Caractéristique]],"""&gt;&lt;h3&gt;",Tableau1[[#This Row],[Voie]],"&lt;/h3&gt;",Tableau1[[#This Row],[HTML_ligne]]),Tableau1[[#This Row],[HTML_ligne]]))</f>
        <v>&lt;h4 class="nom"&gt;Tenez bon !&lt;/h4&gt;&lt;span class="apprentissage"&gt;Apprentissage : &lt;span&gt;Prestance 10&lt;/span&gt;&lt;/span&gt;&lt;p&gt;Exécution : &lt;span&gt;1&lt;/span&gt;&lt;/p&gt;&lt;p&gt;Souffle : &lt;span class="jauge"&gt;1&lt;/span&gt;&lt;/p&gt;&lt;p&gt;Concentration : &lt;span class="jauge"&gt;-&lt;/span&gt;&lt;/p&gt;&lt;div class="effets"&gt;Le personnage encourage ses alliés dans la bataille. Tous les aliés à 5m du personnage gagnent un bonus de &lt;span class="stat"&gt;Prestance&lt;/span&gt;/10 (minimum 1) pour résister à la Peur et à la Douleur temps que le personnage chante. Une fois le chant démarré, le personnage peut le continuer sans surcout tout en réalisant des actions innées.&lt;/div&gt;</v>
      </c>
    </row>
    <row r="90" spans="2:33" ht="45" x14ac:dyDescent="0.25">
      <c r="B90" s="3" t="s">
        <v>235</v>
      </c>
      <c r="C90" s="10">
        <v>2</v>
      </c>
      <c r="D90" s="3" t="s">
        <v>239</v>
      </c>
      <c r="E90" s="19">
        <f>IFERROR(VLOOKUP(Tableau1[[#This Row],[Niveau]],Tableau2[],2,FALSE),"")</f>
        <v>15</v>
      </c>
      <c r="F90" s="3" t="s">
        <v>237</v>
      </c>
      <c r="G90" s="10">
        <v>3</v>
      </c>
      <c r="H90" s="10">
        <v>1</v>
      </c>
      <c r="N90" s="19" t="b">
        <f>IF(Tableau1[[#This Row],[Niveau]]=0,TRUE,FALSE)</f>
        <v>0</v>
      </c>
      <c r="O90" s="5" t="s">
        <v>241</v>
      </c>
      <c r="R90" s="20" t="str">
        <f>CONCATENATE("&lt;h4 class=""nom""&gt;",Tableau1[[#This Row],[Nom]],"&lt;/h4&gt;")</f>
        <v>&lt;h4 class="nom"&gt;Chant entrainant&lt;/h4&gt;</v>
      </c>
      <c r="S90" s="20"/>
      <c r="T90" s="20" t="str">
        <f>IF(Tableau1[[#This Row],[Passif ?]],"&lt;span class=""passive""&gt;Action passive&lt;/span&gt;","")</f>
        <v/>
      </c>
      <c r="U90" s="20" t="str">
        <f>IF(ISBLANK(Tableau1[[#This Row],[Profil]]),"",CONCATENATE("&lt;span class=""profil""&gt;Profil ",Tableau1[[#This Row],[Profil]],"&lt;/span&gt;"))</f>
        <v/>
      </c>
      <c r="V90" s="20" t="str">
        <f>IF(Tableau1[[#This Row],[Innée ?]],"&lt;span class=""innee""&gt;Action innée&lt;/span&gt;","")</f>
        <v/>
      </c>
      <c r="W90" s="20" t="str">
        <f>IF(Tableau1[[#This Row],[Niveau]]&gt;0,CONCATENATE("&lt;span class=""apprentissage""&gt;Apprentissage : &lt;span&gt;",Tableau1[[#This Row],[Caractéristique]], " ",Tableau1[[#This Row],[Apprentissage]],"&lt;/span&gt;&lt;/span&gt;"),"")</f>
        <v>&lt;span class="apprentissage"&gt;Apprentissage : &lt;span&gt;Prestance 15&lt;/span&gt;&lt;/span&gt;</v>
      </c>
      <c r="X90" s="20"/>
      <c r="Y90" s="20" t="str">
        <f>CONCATENATE("&lt;p&gt;Exécution : &lt;span&gt;", IF(Tableau1[[#This Row],[Exécution]]&gt;0,Tableau1[[#This Row],[Exécution]],"-"), "&lt;/span&gt;&lt;/p&gt;")</f>
        <v>&lt;p&gt;Exécution : &lt;span&gt;3&lt;/span&gt;&lt;/p&gt;</v>
      </c>
      <c r="Z90" s="20" t="str">
        <f>CONCATENATE("&lt;p&gt;Souffle : &lt;span class=""jauge""&gt;", IF(Tableau1[[#This Row],[Souffle]]&gt;0,Tableau1[[#This Row],[Souffle]],"-"), "&lt;/span&gt;&lt;/p&gt;")</f>
        <v>&lt;p&gt;Souffle : &lt;span class="jauge"&gt;1&lt;/span&gt;&lt;/p&gt;</v>
      </c>
      <c r="AA90" s="20" t="str">
        <f>CONCATENATE("&lt;p&gt;Concentration : &lt;span class=""jauge""&gt;",IF(Tableau1[[#This Row],[Concentration]]&gt;0,Tableau1[[#This Row],[Concentration]],"-"), "&lt;/span&gt;&lt;/p&gt;")</f>
        <v>&lt;p&gt;Concentration : &lt;span class="jauge"&gt;-&lt;/span&gt;&lt;/p&gt;</v>
      </c>
      <c r="AB90" s="20" t="str">
        <f>IF(Tableau1[[#This Row],[Adrénaline]]&gt;0,CONCATENATE("&lt;p&gt;Adrénaline : &lt;span class=""jauge""&gt;", Tableau1[[#This Row],[Adrénaline]], "&lt;/span&gt;&lt;/p&gt;"),"")</f>
        <v/>
      </c>
      <c r="AC90" s="20"/>
      <c r="AD90" s="20" t="str">
        <f>CONCATENATE("&lt;div class=""effets""&gt;",Tableau1[[#This Row],[Effets]],"&lt;/div&gt;")</f>
        <v>&lt;div class="effets"&gt;Lorsque le personnage chante cette mélodie, ses alliés ressentent une bouffée d'énergie nouvelle.
Tout allié à moins de 5 mètres regagne 1 point de &lt;span class="jauge"&gt;Moral&lt;/span&gt;.
Ce bonus ne peut être appliqué qu'une fois par jour par personnage.&lt;/div&gt;</v>
      </c>
      <c r="AE90" s="20"/>
      <c r="AF90" s="20" t="str">
        <f>CONCATENATE(Tableau1[[#This Row],[HTML_prefix]],Tableau1[[#This Row],[HTML_nom]],Tableau1[[#This Row],[HTML_specs_prefix]],Tableau1[[#This Row],[HTML_passif]],Tableau1[[#This Row],[HTML_profil]],Tableau1[[#This Row],[HTML_innée]],Tableau1[[#This Row],[HTML_apprentissage]],Tableau1[[#This Row],[HTML_specs_col]],Tableau1[[#This Row],[HTML_Execution]],Tableau1[[#This Row],[HTML_Souffle]],Tableau1[[#This Row],[HTML_Concentration]],Tableau1[[#This Row],[HTML_Adrénaline]],Tableau1[[#This Row],[HTML_specs_suffix]],Tableau1[[#This Row],[HTML_effets]],Tableau1[[#This Row],[HTML_suffix]])</f>
        <v>&lt;h4 class="nom"&gt;Chant entrainant&lt;/h4&gt;&lt;span class="apprentissage"&gt;Apprentissage : &lt;span&gt;Prestance 15&lt;/span&gt;&lt;/span&gt;&lt;p&gt;Exécution : &lt;span&gt;3&lt;/span&gt;&lt;/p&gt;&lt;p&gt;Souffle : &lt;span class="jauge"&gt;1&lt;/span&gt;&lt;/p&gt;&lt;p&gt;Concentration : &lt;span class="jauge"&gt;-&lt;/span&gt;&lt;/p&gt;&lt;div class="effets"&gt;Lorsque le personnage chante cette mélodie, ses alliés ressentent une bouffée d'énergie nouvelle.
Tout allié à moins de 5 mètres regagne 1 point de &lt;span class="jauge"&gt;Moral&lt;/span&gt;.
Ce bonus ne peut être appliqué qu'une fois par jour par personnage.&lt;/div&gt;</v>
      </c>
      <c r="AG90" s="21" t="str">
        <f>IF(ISBLANK(Tableau1[[#This Row],[Nom]]),"",IF(B90&lt;&gt;B89,CONCATENATE("&lt;/div&gt;&lt;div class=""voie ",Tableau1[[#This Row],[Caractéristique]],"""&gt;&lt;h3&gt;",Tableau1[[#This Row],[Voie]],"&lt;/h3&gt;",Tableau1[[#This Row],[HTML_ligne]]),Tableau1[[#This Row],[HTML_ligne]]))</f>
        <v>&lt;h4 class="nom"&gt;Chant entrainant&lt;/h4&gt;&lt;span class="apprentissage"&gt;Apprentissage : &lt;span&gt;Prestance 15&lt;/span&gt;&lt;/span&gt;&lt;p&gt;Exécution : &lt;span&gt;3&lt;/span&gt;&lt;/p&gt;&lt;p&gt;Souffle : &lt;span class="jauge"&gt;1&lt;/span&gt;&lt;/p&gt;&lt;p&gt;Concentration : &lt;span class="jauge"&gt;-&lt;/span&gt;&lt;/p&gt;&lt;div class="effets"&gt;Lorsque le personnage chante cette mélodie, ses alliés ressentent une bouffée d'énergie nouvelle.
Tout allié à moins de 5 mètres regagne 1 point de &lt;span class="jauge"&gt;Moral&lt;/span&gt;.
Ce bonus ne peut être appliqué qu'une fois par jour par personnage.&lt;/div&gt;</v>
      </c>
    </row>
    <row r="91" spans="2:33" ht="45" x14ac:dyDescent="0.25">
      <c r="B91" s="3" t="s">
        <v>235</v>
      </c>
      <c r="C91" s="10">
        <v>3</v>
      </c>
      <c r="D91" s="3" t="s">
        <v>240</v>
      </c>
      <c r="E91" s="19">
        <f>IFERROR(VLOOKUP(Tableau1[[#This Row],[Niveau]],Tableau2[],2,FALSE),"")</f>
        <v>20</v>
      </c>
      <c r="F91" s="3" t="s">
        <v>237</v>
      </c>
      <c r="G91" s="10">
        <v>3</v>
      </c>
      <c r="H91" s="10">
        <v>1</v>
      </c>
      <c r="I91" s="10">
        <v>1</v>
      </c>
      <c r="N91" s="19" t="b">
        <f>IF(Tableau1[[#This Row],[Niveau]]=0,TRUE,FALSE)</f>
        <v>0</v>
      </c>
      <c r="O91" s="5" t="s">
        <v>242</v>
      </c>
      <c r="R91" s="20" t="str">
        <f>CONCATENATE("&lt;h4 class=""nom""&gt;",Tableau1[[#This Row],[Nom]],"&lt;/h4&gt;")</f>
        <v>&lt;h4 class="nom"&gt;Chant de guerre&lt;/h4&gt;</v>
      </c>
      <c r="S91" s="20"/>
      <c r="T91" s="20" t="str">
        <f>IF(Tableau1[[#This Row],[Passif ?]],"&lt;span class=""passive""&gt;Action passive&lt;/span&gt;","")</f>
        <v/>
      </c>
      <c r="U91" s="20" t="str">
        <f>IF(ISBLANK(Tableau1[[#This Row],[Profil]]),"",CONCATENATE("&lt;span class=""profil""&gt;Profil ",Tableau1[[#This Row],[Profil]],"&lt;/span&gt;"))</f>
        <v/>
      </c>
      <c r="V91" s="20" t="str">
        <f>IF(Tableau1[[#This Row],[Innée ?]],"&lt;span class=""innee""&gt;Action innée&lt;/span&gt;","")</f>
        <v/>
      </c>
      <c r="W91" s="20" t="str">
        <f>IF(Tableau1[[#This Row],[Niveau]]&gt;0,CONCATENATE("&lt;span class=""apprentissage""&gt;Apprentissage : &lt;span&gt;",Tableau1[[#This Row],[Caractéristique]], " ",Tableau1[[#This Row],[Apprentissage]],"&lt;/span&gt;&lt;/span&gt;"),"")</f>
        <v>&lt;span class="apprentissage"&gt;Apprentissage : &lt;span&gt;Prestance 20&lt;/span&gt;&lt;/span&gt;</v>
      </c>
      <c r="X91" s="20"/>
      <c r="Y91" s="20" t="str">
        <f>CONCATENATE("&lt;p&gt;Exécution : &lt;span&gt;", IF(Tableau1[[#This Row],[Exécution]]&gt;0,Tableau1[[#This Row],[Exécution]],"-"), "&lt;/span&gt;&lt;/p&gt;")</f>
        <v>&lt;p&gt;Exécution : &lt;span&gt;3&lt;/span&gt;&lt;/p&gt;</v>
      </c>
      <c r="Z91" s="20" t="str">
        <f>CONCATENATE("&lt;p&gt;Souffle : &lt;span class=""jauge""&gt;", IF(Tableau1[[#This Row],[Souffle]]&gt;0,Tableau1[[#This Row],[Souffle]],"-"), "&lt;/span&gt;&lt;/p&gt;")</f>
        <v>&lt;p&gt;Souffle : &lt;span class="jauge"&gt;1&lt;/span&gt;&lt;/p&gt;</v>
      </c>
      <c r="AA91" s="20" t="str">
        <f>CONCATENATE("&lt;p&gt;Concentration : &lt;span class=""jauge""&gt;",IF(Tableau1[[#This Row],[Concentration]]&gt;0,Tableau1[[#This Row],[Concentration]],"-"), "&lt;/span&gt;&lt;/p&gt;")</f>
        <v>&lt;p&gt;Concentration : &lt;span class="jauge"&gt;1&lt;/span&gt;&lt;/p&gt;</v>
      </c>
      <c r="AB91" s="20" t="str">
        <f>IF(Tableau1[[#This Row],[Adrénaline]]&gt;0,CONCATENATE("&lt;p&gt;Adrénaline : &lt;span class=""jauge""&gt;", Tableau1[[#This Row],[Adrénaline]], "&lt;/span&gt;&lt;/p&gt;"),"")</f>
        <v/>
      </c>
      <c r="AC91" s="20"/>
      <c r="AD91" s="20" t="str">
        <f>CONCATENATE("&lt;div class=""effets""&gt;",Tableau1[[#This Row],[Effets]],"&lt;/div&gt;")</f>
        <v>&lt;div class="effets"&gt;Temps que ce chant est actif, fous les aliés à 5m du personnage peuvent utiliser la valeur de &lt;span class="stat"&gt;Prestance&lt;/span&gt; du chanteur  pour une de leurs actions (même si l'action n'est pas basée sur la &lt;span class="stat"&gt;Prestance&lt;/span&gt;). Cet effet ne peut être utilisé qu'une fois par heure. Une fois le chant démarré, le personnage peut le continuer sans surcout tout en réalisant des actions innées.&lt;/div&gt;</v>
      </c>
      <c r="AE91" s="20"/>
      <c r="AF91" s="20" t="str">
        <f>CONCATENATE(Tableau1[[#This Row],[HTML_prefix]],Tableau1[[#This Row],[HTML_nom]],Tableau1[[#This Row],[HTML_specs_prefix]],Tableau1[[#This Row],[HTML_passif]],Tableau1[[#This Row],[HTML_profil]],Tableau1[[#This Row],[HTML_innée]],Tableau1[[#This Row],[HTML_apprentissage]],Tableau1[[#This Row],[HTML_specs_col]],Tableau1[[#This Row],[HTML_Execution]],Tableau1[[#This Row],[HTML_Souffle]],Tableau1[[#This Row],[HTML_Concentration]],Tableau1[[#This Row],[HTML_Adrénaline]],Tableau1[[#This Row],[HTML_specs_suffix]],Tableau1[[#This Row],[HTML_effets]],Tableau1[[#This Row],[HTML_suffix]])</f>
        <v>&lt;h4 class="nom"&gt;Chant de guerre&lt;/h4&gt;&lt;span class="apprentissage"&gt;Apprentissage : &lt;span&gt;Prestance 20&lt;/span&gt;&lt;/span&gt;&lt;p&gt;Exécution : &lt;span&gt;3&lt;/span&gt;&lt;/p&gt;&lt;p&gt;Souffle : &lt;span class="jauge"&gt;1&lt;/span&gt;&lt;/p&gt;&lt;p&gt;Concentration : &lt;span class="jauge"&gt;1&lt;/span&gt;&lt;/p&gt;&lt;div class="effets"&gt;Temps que ce chant est actif, fous les aliés à 5m du personnage peuvent utiliser la valeur de &lt;span class="stat"&gt;Prestance&lt;/span&gt; du chanteur  pour une de leurs actions (même si l'action n'est pas basée sur la &lt;span class="stat"&gt;Prestance&lt;/span&gt;). Cet effet ne peut être utilisé qu'une fois par heure. Une fois le chant démarré, le personnage peut le continuer sans surcout tout en réalisant des actions innées.&lt;/div&gt;</v>
      </c>
      <c r="AG91" s="21" t="str">
        <f>IF(ISBLANK(Tableau1[[#This Row],[Nom]]),"",IF(B91&lt;&gt;B90,CONCATENATE("&lt;/div&gt;&lt;div class=""voie ",Tableau1[[#This Row],[Caractéristique]],"""&gt;&lt;h3&gt;",Tableau1[[#This Row],[Voie]],"&lt;/h3&gt;",Tableau1[[#This Row],[HTML_ligne]]),Tableau1[[#This Row],[HTML_ligne]]))</f>
        <v>&lt;h4 class="nom"&gt;Chant de guerre&lt;/h4&gt;&lt;span class="apprentissage"&gt;Apprentissage : &lt;span&gt;Prestance 20&lt;/span&gt;&lt;/span&gt;&lt;p&gt;Exécution : &lt;span&gt;3&lt;/span&gt;&lt;/p&gt;&lt;p&gt;Souffle : &lt;span class="jauge"&gt;1&lt;/span&gt;&lt;/p&gt;&lt;p&gt;Concentration : &lt;span class="jauge"&gt;1&lt;/span&gt;&lt;/p&gt;&lt;div class="effets"&gt;Temps que ce chant est actif, fous les aliés à 5m du personnage peuvent utiliser la valeur de &lt;span class="stat"&gt;Prestance&lt;/span&gt; du chanteur  pour une de leurs actions (même si l'action n'est pas basée sur la &lt;span class="stat"&gt;Prestance&lt;/span&gt;). Cet effet ne peut être utilisé qu'une fois par heure. Une fois le chant démarré, le personnage peut le continuer sans surcout tout en réalisant des actions innées.&lt;/div&gt;</v>
      </c>
    </row>
    <row r="92" spans="2:33" ht="45" x14ac:dyDescent="0.25">
      <c r="B92" s="3" t="s">
        <v>247</v>
      </c>
      <c r="C92" s="10">
        <v>2</v>
      </c>
      <c r="D92" s="3" t="s">
        <v>251</v>
      </c>
      <c r="E92" s="19">
        <f>IFERROR(VLOOKUP(Tableau1[[#This Row],[Niveau]],Tableau2[],2,FALSE),"")</f>
        <v>15</v>
      </c>
      <c r="F92" s="3" t="s">
        <v>237</v>
      </c>
      <c r="K92" s="10" t="b">
        <v>1</v>
      </c>
      <c r="N92" s="19" t="b">
        <f>IF(Tableau1[[#This Row],[Niveau]]=0,TRUE,FALSE)</f>
        <v>0</v>
      </c>
      <c r="O92" s="5" t="s">
        <v>249</v>
      </c>
      <c r="R92" s="20" t="str">
        <f>CONCATENATE("&lt;h4 class=""nom""&gt;",Tableau1[[#This Row],[Nom]],"&lt;/h4&gt;")</f>
        <v>&lt;h4 class="nom"&gt;Présence effrayante&lt;/h4&gt;</v>
      </c>
      <c r="S92" s="20"/>
      <c r="T92" s="20" t="str">
        <f>IF(Tableau1[[#This Row],[Passif ?]],"&lt;span class=""passive""&gt;Action passive&lt;/span&gt;","")</f>
        <v>&lt;span class="passive"&gt;Action passive&lt;/span&gt;</v>
      </c>
      <c r="U92" s="20" t="str">
        <f>IF(ISBLANK(Tableau1[[#This Row],[Profil]]),"",CONCATENATE("&lt;span class=""profil""&gt;Profil ",Tableau1[[#This Row],[Profil]],"&lt;/span&gt;"))</f>
        <v/>
      </c>
      <c r="V92" s="20" t="str">
        <f>IF(Tableau1[[#This Row],[Innée ?]],"&lt;span class=""innee""&gt;Action innée&lt;/span&gt;","")</f>
        <v/>
      </c>
      <c r="W92" s="20" t="str">
        <f>IF(Tableau1[[#This Row],[Niveau]]&gt;0,CONCATENATE("&lt;span class=""apprentissage""&gt;Apprentissage : &lt;span&gt;",Tableau1[[#This Row],[Caractéristique]], " ",Tableau1[[#This Row],[Apprentissage]],"&lt;/span&gt;&lt;/span&gt;"),"")</f>
        <v>&lt;span class="apprentissage"&gt;Apprentissage : &lt;span&gt;Prestance 15&lt;/span&gt;&lt;/span&gt;</v>
      </c>
      <c r="X92" s="20"/>
      <c r="Y92" s="20" t="str">
        <f>CONCATENATE("&lt;p&gt;Exécution : &lt;span&gt;", IF(Tableau1[[#This Row],[Exécution]]&gt;0,Tableau1[[#This Row],[Exécution]],"-"), "&lt;/span&gt;&lt;/p&gt;")</f>
        <v>&lt;p&gt;Exécution : &lt;span&gt;-&lt;/span&gt;&lt;/p&gt;</v>
      </c>
      <c r="Z92" s="20" t="str">
        <f>CONCATENATE("&lt;p&gt;Souffle : &lt;span class=""jauge""&gt;", IF(Tableau1[[#This Row],[Souffle]]&gt;0,Tableau1[[#This Row],[Souffle]],"-"), "&lt;/span&gt;&lt;/p&gt;")</f>
        <v>&lt;p&gt;Souffle : &lt;span class="jauge"&gt;-&lt;/span&gt;&lt;/p&gt;</v>
      </c>
      <c r="AA92" s="20" t="str">
        <f>CONCATENATE("&lt;p&gt;Concentration : &lt;span class=""jauge""&gt;",IF(Tableau1[[#This Row],[Concentration]]&gt;0,Tableau1[[#This Row],[Concentration]],"-"), "&lt;/span&gt;&lt;/p&gt;")</f>
        <v>&lt;p&gt;Concentration : &lt;span class="jauge"&gt;-&lt;/span&gt;&lt;/p&gt;</v>
      </c>
      <c r="AB92" s="20" t="str">
        <f>IF(Tableau1[[#This Row],[Adrénaline]]&gt;0,CONCATENATE("&lt;p&gt;Adrénaline : &lt;span class=""jauge""&gt;", Tableau1[[#This Row],[Adrénaline]], "&lt;/span&gt;&lt;/p&gt;"),"")</f>
        <v/>
      </c>
      <c r="AC92" s="20"/>
      <c r="AD92" s="20" t="str">
        <f>CONCATENATE("&lt;div class=""effets""&gt;",Tableau1[[#This Row],[Effets]],"&lt;/div&gt;")</f>
        <v>&lt;div class="effets"&gt;Le personnage inspire la terreur aux ennemis à son contact qui doivent réussir un test opposé de &lt;span class="stat"&gt;Bravoure&lt;/span&gt; contre la caracéristique la plus élevée du personnage/2 au début de leur tour ou gagner un point de &lt;span class="jauge"&gt;Peur&lt;/span&gt;.&lt;br /&gt;Un seul point de &lt;span class="jauge"&gt;Peur&lt;/span&gt; peut être gagné de cette façon par cible.&lt;/div&gt;</v>
      </c>
      <c r="AE92" s="20"/>
      <c r="AF92" s="20" t="str">
        <f>CONCATENATE(Tableau1[[#This Row],[HTML_prefix]],Tableau1[[#This Row],[HTML_nom]],Tableau1[[#This Row],[HTML_specs_prefix]],Tableau1[[#This Row],[HTML_passif]],Tableau1[[#This Row],[HTML_profil]],Tableau1[[#This Row],[HTML_innée]],Tableau1[[#This Row],[HTML_apprentissage]],Tableau1[[#This Row],[HTML_specs_col]],Tableau1[[#This Row],[HTML_Execution]],Tableau1[[#This Row],[HTML_Souffle]],Tableau1[[#This Row],[HTML_Concentration]],Tableau1[[#This Row],[HTML_Adrénaline]],Tableau1[[#This Row],[HTML_specs_suffix]],Tableau1[[#This Row],[HTML_effets]],Tableau1[[#This Row],[HTML_suffix]])</f>
        <v>&lt;h4 class="nom"&gt;Présence effrayante&lt;/h4&gt;&lt;span class="passive"&gt;Action passive&lt;/span&gt;&lt;span class="apprentissage"&gt;Apprentissage : &lt;span&gt;Prestance 15&lt;/span&gt;&lt;/span&gt;&lt;p&gt;Exécution : &lt;span&gt;-&lt;/span&gt;&lt;/p&gt;&lt;p&gt;Souffle : &lt;span class="jauge"&gt;-&lt;/span&gt;&lt;/p&gt;&lt;p&gt;Concentration : &lt;span class="jauge"&gt;-&lt;/span&gt;&lt;/p&gt;&lt;div class="effets"&gt;Le personnage inspire la terreur aux ennemis à son contact qui doivent réussir un test opposé de &lt;span class="stat"&gt;Bravoure&lt;/span&gt; contre la caracéristique la plus élevée du personnage/2 au début de leur tour ou gagner un point de &lt;span class="jauge"&gt;Peur&lt;/span&gt;.&lt;br /&gt;Un seul point de &lt;span class="jauge"&gt;Peur&lt;/span&gt; peut être gagné de cette façon par cible.&lt;/div&gt;</v>
      </c>
      <c r="AG92" s="21" t="str">
        <f>IF(ISBLANK(Tableau1[[#This Row],[Nom]]),"",IF(B92&lt;&gt;B91,CONCATENATE("&lt;/div&gt;&lt;div class=""voie ",Tableau1[[#This Row],[Caractéristique]],"""&gt;&lt;h3&gt;",Tableau1[[#This Row],[Voie]],"&lt;/h3&gt;",Tableau1[[#This Row],[HTML_ligne]]),Tableau1[[#This Row],[HTML_ligne]]))</f>
        <v>&lt;/div&gt;&lt;div class="voie Prestance"&gt;&lt;h3&gt;Frayeur&lt;/h3&gt;&lt;h4 class="nom"&gt;Présence effrayante&lt;/h4&gt;&lt;span class="passive"&gt;Action passive&lt;/span&gt;&lt;span class="apprentissage"&gt;Apprentissage : &lt;span&gt;Prestance 15&lt;/span&gt;&lt;/span&gt;&lt;p&gt;Exécution : &lt;span&gt;-&lt;/span&gt;&lt;/p&gt;&lt;p&gt;Souffle : &lt;span class="jauge"&gt;-&lt;/span&gt;&lt;/p&gt;&lt;p&gt;Concentration : &lt;span class="jauge"&gt;-&lt;/span&gt;&lt;/p&gt;&lt;div class="effets"&gt;Le personnage inspire la terreur aux ennemis à son contact qui doivent réussir un test opposé de &lt;span class="stat"&gt;Bravoure&lt;/span&gt; contre la caracéristique la plus élevée du personnage/2 au début de leur tour ou gagner un point de &lt;span class="jauge"&gt;Peur&lt;/span&gt;.&lt;br /&gt;Un seul point de &lt;span class="jauge"&gt;Peur&lt;/span&gt; peut être gagné de cette façon par cible.&lt;/div&gt;</v>
      </c>
    </row>
    <row r="93" spans="2:33" ht="45" x14ac:dyDescent="0.25">
      <c r="B93" s="3" t="s">
        <v>247</v>
      </c>
      <c r="C93" s="10">
        <v>1</v>
      </c>
      <c r="D93" s="3" t="s">
        <v>248</v>
      </c>
      <c r="E93" s="19">
        <f>IFERROR(VLOOKUP(Tableau1[[#This Row],[Niveau]],Tableau2[],2,FALSE),"")</f>
        <v>10</v>
      </c>
      <c r="F93" s="3" t="s">
        <v>237</v>
      </c>
      <c r="G93" s="10">
        <v>2</v>
      </c>
      <c r="H93" s="10">
        <v>1</v>
      </c>
      <c r="N93" s="19" t="b">
        <f>IF(Tableau1[[#This Row],[Niveau]]=0,TRUE,FALSE)</f>
        <v>0</v>
      </c>
      <c r="O93" s="5" t="s">
        <v>250</v>
      </c>
      <c r="R93" s="20" t="str">
        <f>CONCATENATE("&lt;h4 class=""nom""&gt;",Tableau1[[#This Row],[Nom]],"&lt;/h4&gt;")</f>
        <v>&lt;h4 class="nom"&gt;Intimider&lt;/h4&gt;</v>
      </c>
      <c r="S93" s="20"/>
      <c r="T93" s="20" t="str">
        <f>IF(Tableau1[[#This Row],[Passif ?]],"&lt;span class=""passive""&gt;Action passive&lt;/span&gt;","")</f>
        <v/>
      </c>
      <c r="U93" s="20" t="str">
        <f>IF(ISBLANK(Tableau1[[#This Row],[Profil]]),"",CONCATENATE("&lt;span class=""profil""&gt;Profil ",Tableau1[[#This Row],[Profil]],"&lt;/span&gt;"))</f>
        <v/>
      </c>
      <c r="V93" s="20" t="str">
        <f>IF(Tableau1[[#This Row],[Innée ?]],"&lt;span class=""innee""&gt;Action innée&lt;/span&gt;","")</f>
        <v/>
      </c>
      <c r="W93" s="20" t="str">
        <f>IF(Tableau1[[#This Row],[Niveau]]&gt;0,CONCATENATE("&lt;span class=""apprentissage""&gt;Apprentissage : &lt;span&gt;",Tableau1[[#This Row],[Caractéristique]], " ",Tableau1[[#This Row],[Apprentissage]],"&lt;/span&gt;&lt;/span&gt;"),"")</f>
        <v>&lt;span class="apprentissage"&gt;Apprentissage : &lt;span&gt;Prestance 10&lt;/span&gt;&lt;/span&gt;</v>
      </c>
      <c r="X93" s="20"/>
      <c r="Y93" s="20" t="str">
        <f>CONCATENATE("&lt;p&gt;Exécution : &lt;span&gt;", IF(Tableau1[[#This Row],[Exécution]]&gt;0,Tableau1[[#This Row],[Exécution]],"-"), "&lt;/span&gt;&lt;/p&gt;")</f>
        <v>&lt;p&gt;Exécution : &lt;span&gt;2&lt;/span&gt;&lt;/p&gt;</v>
      </c>
      <c r="Z93" s="20" t="str">
        <f>CONCATENATE("&lt;p&gt;Souffle : &lt;span class=""jauge""&gt;", IF(Tableau1[[#This Row],[Souffle]]&gt;0,Tableau1[[#This Row],[Souffle]],"-"), "&lt;/span&gt;&lt;/p&gt;")</f>
        <v>&lt;p&gt;Souffle : &lt;span class="jauge"&gt;1&lt;/span&gt;&lt;/p&gt;</v>
      </c>
      <c r="AA93" s="20" t="str">
        <f>CONCATENATE("&lt;p&gt;Concentration : &lt;span class=""jauge""&gt;",IF(Tableau1[[#This Row],[Concentration]]&gt;0,Tableau1[[#This Row],[Concentration]],"-"), "&lt;/span&gt;&lt;/p&gt;")</f>
        <v>&lt;p&gt;Concentration : &lt;span class="jauge"&gt;-&lt;/span&gt;&lt;/p&gt;</v>
      </c>
      <c r="AB93" s="20" t="str">
        <f>IF(Tableau1[[#This Row],[Adrénaline]]&gt;0,CONCATENATE("&lt;p&gt;Adrénaline : &lt;span class=""jauge""&gt;", Tableau1[[#This Row],[Adrénaline]], "&lt;/span&gt;&lt;/p&gt;"),"")</f>
        <v/>
      </c>
      <c r="AC93" s="20"/>
      <c r="AD93" s="20" t="str">
        <f>CONCATENATE("&lt;div class=""effets""&gt;",Tableau1[[#This Row],[Effets]],"&lt;/div&gt;")</f>
        <v>&lt;div class="effets"&gt;Le personnage intimide une cible à 10m qui peut le voir et l'entendre. Celle-ci doit réussir un test opposé de &lt;span class="stat"&gt;Bravoure&lt;/span&gt; contre la caracéristique la plus élevée du personnage ou gagner un point de &lt;span class="jauge"&gt;Peur&lt;/span&gt;. &lt;br /&gt;Un seul point de &lt;span class="jauge"&gt;Peur&lt;/span&gt; peut être gagné de cette façon par cible.&lt;/div&gt;</v>
      </c>
      <c r="AE93" s="20"/>
      <c r="AF93" s="20" t="str">
        <f>CONCATENATE(Tableau1[[#This Row],[HTML_prefix]],Tableau1[[#This Row],[HTML_nom]],Tableau1[[#This Row],[HTML_specs_prefix]],Tableau1[[#This Row],[HTML_passif]],Tableau1[[#This Row],[HTML_profil]],Tableau1[[#This Row],[HTML_innée]],Tableau1[[#This Row],[HTML_apprentissage]],Tableau1[[#This Row],[HTML_specs_col]],Tableau1[[#This Row],[HTML_Execution]],Tableau1[[#This Row],[HTML_Souffle]],Tableau1[[#This Row],[HTML_Concentration]],Tableau1[[#This Row],[HTML_Adrénaline]],Tableau1[[#This Row],[HTML_specs_suffix]],Tableau1[[#This Row],[HTML_effets]],Tableau1[[#This Row],[HTML_suffix]])</f>
        <v>&lt;h4 class="nom"&gt;Intimider&lt;/h4&gt;&lt;span class="apprentissage"&gt;Apprentissage : &lt;span&gt;Prestance 10&lt;/span&gt;&lt;/span&gt;&lt;p&gt;Exécution : &lt;span&gt;2&lt;/span&gt;&lt;/p&gt;&lt;p&gt;Souffle : &lt;span class="jauge"&gt;1&lt;/span&gt;&lt;/p&gt;&lt;p&gt;Concentration : &lt;span class="jauge"&gt;-&lt;/span&gt;&lt;/p&gt;&lt;div class="effets"&gt;Le personnage intimide une cible à 10m qui peut le voir et l'entendre. Celle-ci doit réussir un test opposé de &lt;span class="stat"&gt;Bravoure&lt;/span&gt; contre la caracéristique la plus élevée du personnage ou gagner un point de &lt;span class="jauge"&gt;Peur&lt;/span&gt;. &lt;br /&gt;Un seul point de &lt;span class="jauge"&gt;Peur&lt;/span&gt; peut être gagné de cette façon par cible.&lt;/div&gt;</v>
      </c>
      <c r="AG93" s="21" t="str">
        <f>IF(ISBLANK(Tableau1[[#This Row],[Nom]]),"",IF(B93&lt;&gt;B92,CONCATENATE("&lt;/div&gt;&lt;div class=""voie ",Tableau1[[#This Row],[Caractéristique]],"""&gt;&lt;h3&gt;",Tableau1[[#This Row],[Voie]],"&lt;/h3&gt;",Tableau1[[#This Row],[HTML_ligne]]),Tableau1[[#This Row],[HTML_ligne]]))</f>
        <v>&lt;h4 class="nom"&gt;Intimider&lt;/h4&gt;&lt;span class="apprentissage"&gt;Apprentissage : &lt;span&gt;Prestance 10&lt;/span&gt;&lt;/span&gt;&lt;p&gt;Exécution : &lt;span&gt;2&lt;/span&gt;&lt;/p&gt;&lt;p&gt;Souffle : &lt;span class="jauge"&gt;1&lt;/span&gt;&lt;/p&gt;&lt;p&gt;Concentration : &lt;span class="jauge"&gt;-&lt;/span&gt;&lt;/p&gt;&lt;div class="effets"&gt;Le personnage intimide une cible à 10m qui peut le voir et l'entendre. Celle-ci doit réussir un test opposé de &lt;span class="stat"&gt;Bravoure&lt;/span&gt; contre la caracéristique la plus élevée du personnage ou gagner un point de &lt;span class="jauge"&gt;Peur&lt;/span&gt;. &lt;br /&gt;Un seul point de &lt;span class="jauge"&gt;Peur&lt;/span&gt; peut être gagné de cette façon par cible.&lt;/div&gt;</v>
      </c>
    </row>
    <row r="94" spans="2:33" x14ac:dyDescent="0.25">
      <c r="B94" s="3" t="s">
        <v>247</v>
      </c>
      <c r="C94" s="10">
        <v>3</v>
      </c>
      <c r="D94" s="3" t="s">
        <v>252</v>
      </c>
      <c r="E94" s="19">
        <f>IFERROR(VLOOKUP(Tableau1[[#This Row],[Niveau]],Tableau2[],2,FALSE),"")</f>
        <v>20</v>
      </c>
      <c r="F94" s="3" t="s">
        <v>237</v>
      </c>
      <c r="K94" s="10" t="b">
        <v>1</v>
      </c>
      <c r="N94" s="19" t="b">
        <f>IF(Tableau1[[#This Row],[Niveau]]=0,TRUE,FALSE)</f>
        <v>0</v>
      </c>
      <c r="O94" s="5" t="s">
        <v>253</v>
      </c>
      <c r="R94" s="20" t="str">
        <f>CONCATENATE("&lt;h4 class=""nom""&gt;",Tableau1[[#This Row],[Nom]],"&lt;/h4&gt;")</f>
        <v>&lt;h4 class="nom"&gt;Terrifiant&lt;/h4&gt;</v>
      </c>
      <c r="S94" s="20"/>
      <c r="T94" s="20" t="str">
        <f>IF(Tableau1[[#This Row],[Passif ?]],"&lt;span class=""passive""&gt;Action passive&lt;/span&gt;","")</f>
        <v>&lt;span class="passive"&gt;Action passive&lt;/span&gt;</v>
      </c>
      <c r="U94" s="20" t="str">
        <f>IF(ISBLANK(Tableau1[[#This Row],[Profil]]),"",CONCATENATE("&lt;span class=""profil""&gt;Profil ",Tableau1[[#This Row],[Profil]],"&lt;/span&gt;"))</f>
        <v/>
      </c>
      <c r="V94" s="20" t="str">
        <f>IF(Tableau1[[#This Row],[Innée ?]],"&lt;span class=""innee""&gt;Action innée&lt;/span&gt;","")</f>
        <v/>
      </c>
      <c r="W94" s="20" t="str">
        <f>IF(Tableau1[[#This Row],[Niveau]]&gt;0,CONCATENATE("&lt;span class=""apprentissage""&gt;Apprentissage : &lt;span&gt;",Tableau1[[#This Row],[Caractéristique]], " ",Tableau1[[#This Row],[Apprentissage]],"&lt;/span&gt;&lt;/span&gt;"),"")</f>
        <v>&lt;span class="apprentissage"&gt;Apprentissage : &lt;span&gt;Prestance 20&lt;/span&gt;&lt;/span&gt;</v>
      </c>
      <c r="X94" s="20"/>
      <c r="Y94" s="20" t="str">
        <f>CONCATENATE("&lt;p&gt;Exécution : &lt;span&gt;", IF(Tableau1[[#This Row],[Exécution]]&gt;0,Tableau1[[#This Row],[Exécution]],"-"), "&lt;/span&gt;&lt;/p&gt;")</f>
        <v>&lt;p&gt;Exécution : &lt;span&gt;-&lt;/span&gt;&lt;/p&gt;</v>
      </c>
      <c r="Z94" s="20" t="str">
        <f>CONCATENATE("&lt;p&gt;Souffle : &lt;span class=""jauge""&gt;", IF(Tableau1[[#This Row],[Souffle]]&gt;0,Tableau1[[#This Row],[Souffle]],"-"), "&lt;/span&gt;&lt;/p&gt;")</f>
        <v>&lt;p&gt;Souffle : &lt;span class="jauge"&gt;-&lt;/span&gt;&lt;/p&gt;</v>
      </c>
      <c r="AA94" s="20" t="str">
        <f>CONCATENATE("&lt;p&gt;Concentration : &lt;span class=""jauge""&gt;",IF(Tableau1[[#This Row],[Concentration]]&gt;0,Tableau1[[#This Row],[Concentration]],"-"), "&lt;/span&gt;&lt;/p&gt;")</f>
        <v>&lt;p&gt;Concentration : &lt;span class="jauge"&gt;-&lt;/span&gt;&lt;/p&gt;</v>
      </c>
      <c r="AB94" s="20" t="str">
        <f>IF(Tableau1[[#This Row],[Adrénaline]]&gt;0,CONCATENATE("&lt;p&gt;Adrénaline : &lt;span class=""jauge""&gt;", Tableau1[[#This Row],[Adrénaline]], "&lt;/span&gt;&lt;/p&gt;"),"")</f>
        <v/>
      </c>
      <c r="AC94" s="20"/>
      <c r="AD94" s="20" t="str">
        <f>CONCATENATE("&lt;div class=""effets""&gt;",Tableau1[[#This Row],[Effets]],"&lt;/div&gt;")</f>
        <v>&lt;div class="effets"&gt;Les compétences de la voie de la Frayeur peuvent désormais faire perdre jusqu'à 2 points de &lt;span class="jauge"&gt;Peur&lt;/span&gt; par compétence.&lt;/div&gt;</v>
      </c>
      <c r="AE94" s="20"/>
      <c r="AF94" s="20" t="str">
        <f>CONCATENATE(Tableau1[[#This Row],[HTML_prefix]],Tableau1[[#This Row],[HTML_nom]],Tableau1[[#This Row],[HTML_specs_prefix]],Tableau1[[#This Row],[HTML_passif]],Tableau1[[#This Row],[HTML_profil]],Tableau1[[#This Row],[HTML_innée]],Tableau1[[#This Row],[HTML_apprentissage]],Tableau1[[#This Row],[HTML_specs_col]],Tableau1[[#This Row],[HTML_Execution]],Tableau1[[#This Row],[HTML_Souffle]],Tableau1[[#This Row],[HTML_Concentration]],Tableau1[[#This Row],[HTML_Adrénaline]],Tableau1[[#This Row],[HTML_specs_suffix]],Tableau1[[#This Row],[HTML_effets]],Tableau1[[#This Row],[HTML_suffix]])</f>
        <v>&lt;h4 class="nom"&gt;Terrifiant&lt;/h4&gt;&lt;span class="passive"&gt;Action passive&lt;/span&gt;&lt;span class="apprentissage"&gt;Apprentissage : &lt;span&gt;Prestance 20&lt;/span&gt;&lt;/span&gt;&lt;p&gt;Exécution : &lt;span&gt;-&lt;/span&gt;&lt;/p&gt;&lt;p&gt;Souffle : &lt;span class="jauge"&gt;-&lt;/span&gt;&lt;/p&gt;&lt;p&gt;Concentration : &lt;span class="jauge"&gt;-&lt;/span&gt;&lt;/p&gt;&lt;div class="effets"&gt;Les compétences de la voie de la Frayeur peuvent désormais faire perdre jusqu'à 2 points de &lt;span class="jauge"&gt;Peur&lt;/span&gt; par compétence.&lt;/div&gt;</v>
      </c>
      <c r="AG94" s="21" t="str">
        <f>IF(ISBLANK(Tableau1[[#This Row],[Nom]]),"",IF(B94&lt;&gt;B93,CONCATENATE("&lt;/div&gt;&lt;div class=""voie ",Tableau1[[#This Row],[Caractéristique]],"""&gt;&lt;h3&gt;",Tableau1[[#This Row],[Voie]],"&lt;/h3&gt;",Tableau1[[#This Row],[HTML_ligne]]),Tableau1[[#This Row],[HTML_ligne]]))</f>
        <v>&lt;h4 class="nom"&gt;Terrifiant&lt;/h4&gt;&lt;span class="passive"&gt;Action passive&lt;/span&gt;&lt;span class="apprentissage"&gt;Apprentissage : &lt;span&gt;Prestance 20&lt;/span&gt;&lt;/span&gt;&lt;p&gt;Exécution : &lt;span&gt;-&lt;/span&gt;&lt;/p&gt;&lt;p&gt;Souffle : &lt;span class="jauge"&gt;-&lt;/span&gt;&lt;/p&gt;&lt;p&gt;Concentration : &lt;span class="jauge"&gt;-&lt;/span&gt;&lt;/p&gt;&lt;div class="effets"&gt;Les compétences de la voie de la Frayeur peuvent désormais faire perdre jusqu'à 2 points de &lt;span class="jauge"&gt;Peur&lt;/span&gt; par compétence.&lt;/div&gt;</v>
      </c>
    </row>
    <row r="95" spans="2:33" ht="225" x14ac:dyDescent="0.25">
      <c r="B95" s="3" t="s">
        <v>260</v>
      </c>
      <c r="C95" s="10">
        <v>2</v>
      </c>
      <c r="D95" s="3" t="s">
        <v>258</v>
      </c>
      <c r="E95" s="19">
        <f>IFERROR(VLOOKUP(Tableau1[[#This Row],[Niveau]],Tableau2[],2,FALSE),"")</f>
        <v>15</v>
      </c>
      <c r="F95" s="3" t="s">
        <v>127</v>
      </c>
      <c r="N95" s="19" t="b">
        <f>IF(Tableau1[[#This Row],[Niveau]]=0,TRUE,FALSE)</f>
        <v>0</v>
      </c>
      <c r="O95" s="5" t="s">
        <v>259</v>
      </c>
      <c r="R95" s="20" t="str">
        <f>CONCATENATE("&lt;h4 class=""nom""&gt;",Tableau1[[#This Row],[Nom]],"&lt;/h4&gt;")</f>
        <v>&lt;h4 class="nom"&gt;Faément mineur&lt;/h4&gt;</v>
      </c>
      <c r="S95" s="20"/>
      <c r="T95" s="20" t="str">
        <f>IF(Tableau1[[#This Row],[Passif ?]],"&lt;span class=""passive""&gt;Action passive&lt;/span&gt;","")</f>
        <v/>
      </c>
      <c r="U95" s="20" t="str">
        <f>IF(ISBLANK(Tableau1[[#This Row],[Profil]]),"",CONCATENATE("&lt;span class=""profil""&gt;Profil ",Tableau1[[#This Row],[Profil]],"&lt;/span&gt;"))</f>
        <v/>
      </c>
      <c r="V95" s="20" t="str">
        <f>IF(Tableau1[[#This Row],[Innée ?]],"&lt;span class=""innee""&gt;Action innée&lt;/span&gt;","")</f>
        <v/>
      </c>
      <c r="W95" s="20" t="str">
        <f>IF(Tableau1[[#This Row],[Niveau]]&gt;0,CONCATENATE("&lt;span class=""apprentissage""&gt;Apprentissage : &lt;span&gt;",Tableau1[[#This Row],[Caractéristique]], " ",Tableau1[[#This Row],[Apprentissage]],"&lt;/span&gt;&lt;/span&gt;"),"")</f>
        <v>&lt;span class="apprentissage"&gt;Apprentissage : &lt;span&gt;Intelligence 15&lt;/span&gt;&lt;/span&gt;</v>
      </c>
      <c r="X95" s="20"/>
      <c r="Y95" s="20" t="str">
        <f>CONCATENATE("&lt;p&gt;Exécution : &lt;span&gt;", IF(Tableau1[[#This Row],[Exécution]]&gt;0,Tableau1[[#This Row],[Exécution]],"-"), "&lt;/span&gt;&lt;/p&gt;")</f>
        <v>&lt;p&gt;Exécution : &lt;span&gt;-&lt;/span&gt;&lt;/p&gt;</v>
      </c>
      <c r="Z95" s="20" t="str">
        <f>CONCATENATE("&lt;p&gt;Souffle : &lt;span class=""jauge""&gt;", IF(Tableau1[[#This Row],[Souffle]]&gt;0,Tableau1[[#This Row],[Souffle]],"-"), "&lt;/span&gt;&lt;/p&gt;")</f>
        <v>&lt;p&gt;Souffle : &lt;span class="jauge"&gt;-&lt;/span&gt;&lt;/p&gt;</v>
      </c>
      <c r="AA95" s="20" t="str">
        <f>CONCATENATE("&lt;p&gt;Concentration : &lt;span class=""jauge""&gt;",IF(Tableau1[[#This Row],[Concentration]]&gt;0,Tableau1[[#This Row],[Concentration]],"-"), "&lt;/span&gt;&lt;/p&gt;")</f>
        <v>&lt;p&gt;Concentration : &lt;span class="jauge"&gt;-&lt;/span&gt;&lt;/p&gt;</v>
      </c>
      <c r="AB95" s="20" t="str">
        <f>IF(Tableau1[[#This Row],[Adrénaline]]&gt;0,CONCATENATE("&lt;p&gt;Adrénaline : &lt;span class=""jauge""&gt;", Tableau1[[#This Row],[Adrénaline]], "&lt;/span&gt;&lt;/p&gt;"),"")</f>
        <v/>
      </c>
      <c r="AC95" s="20"/>
      <c r="AD95" s="20" t="str">
        <f>CONCATENATE("&lt;div class=""effets""&gt;",Tableau1[[#This Row],[Effets]],"&lt;/div&gt;")</f>
        <v>&lt;div class="effets"&gt;Le personnage charge un sort dans un réceptacle pour que celui-ci soit déclenché lorsque les conditions nécessaires seront remplies.
Pour préparer le faément, le personnage doit au préalable :
&lt;br /&gt;&lt;br /&gt;&lt;ul&gt;
    &lt;li&gt;connaitre le sort qu'il veut inscrire&lt;/li&gt;
    &lt;li&gt;disposer d'un receptacle d'énergie suffisament chargé. La charge nécessaire pour lancer un faément mineur est égal au seuil de puissance du sort x2.&lt;/li&gt;
    &lt;li&gt;avoir un stylet à faéments&lt;/li&gt;
    &lt;li&gt;accéder à une surface dure (metal, roche, bois, ...)&lt;/li&gt;
&lt;/ul&gt;
La préparation du Faément aura pour durée un nombre de temps d'action égal au seuil de puissance du sort. Durant cette préparation, le personnage définit la condition de déclenchement du faément ainsi que ses modalités de déclenchement (direction du projectile, zone d'effet). La condition de déclenchement est une condition simple (pas de "ET" ni de "OU" et ne doit impliquer que des éléments à moins de 20m du faément). Un test d'Intelligence avec comme cible le seuil de puissance du sort doit être réussi pour inscrire le faément. En cas d'échec le réceptacle perd 50% de ses charges. Lorsque le faément est terminé, dès que la condition de déclenchement est remplie, le sort est lancé et le faément est détruit.&lt;/div&gt;</v>
      </c>
      <c r="AE95" s="20"/>
      <c r="AF95" s="20" t="str">
        <f>CONCATENATE(Tableau1[[#This Row],[HTML_prefix]],Tableau1[[#This Row],[HTML_nom]],Tableau1[[#This Row],[HTML_specs_prefix]],Tableau1[[#This Row],[HTML_passif]],Tableau1[[#This Row],[HTML_profil]],Tableau1[[#This Row],[HTML_innée]],Tableau1[[#This Row],[HTML_apprentissage]],Tableau1[[#This Row],[HTML_specs_col]],Tableau1[[#This Row],[HTML_Execution]],Tableau1[[#This Row],[HTML_Souffle]],Tableau1[[#This Row],[HTML_Concentration]],Tableau1[[#This Row],[HTML_Adrénaline]],Tableau1[[#This Row],[HTML_specs_suffix]],Tableau1[[#This Row],[HTML_effets]],Tableau1[[#This Row],[HTML_suffix]])</f>
        <v>&lt;h4 class="nom"&gt;Faément mineur&lt;/h4&gt;&lt;span class="apprentissage"&gt;Apprentissage : &lt;span&gt;Intelligence 15&lt;/span&gt;&lt;/span&gt;&lt;p&gt;Exécution : &lt;span&gt;-&lt;/span&gt;&lt;/p&gt;&lt;p&gt;Souffle : &lt;span class="jauge"&gt;-&lt;/span&gt;&lt;/p&gt;&lt;p&gt;Concentration : &lt;span class="jauge"&gt;-&lt;/span&gt;&lt;/p&gt;&lt;div class="effets"&gt;Le personnage charge un sort dans un réceptacle pour que celui-ci soit déclenché lorsque les conditions nécessaires seront remplies.
Pour préparer le faément, le personnage doit au préalable :
&lt;br /&gt;&lt;br /&gt;&lt;ul&gt;
    &lt;li&gt;connaitre le sort qu'il veut inscrire&lt;/li&gt;
    &lt;li&gt;disposer d'un receptacle d'énergie suffisament chargé. La charge nécessaire pour lancer un faément mineur est égal au seuil de puissance du sort x2.&lt;/li&gt;
    &lt;li&gt;avoir un stylet à faéments&lt;/li&gt;
    &lt;li&gt;accéder à une surface dure (metal, roche, bois, ...)&lt;/li&gt;
&lt;/ul&gt;
La préparation du Faément aura pour durée un nombre de temps d'action égal au seuil de puissance du sort. Durant cette préparation, le personnage définit la condition de déclenchement du faément ainsi que ses modalités de déclenchement (direction du projectile, zone d'effet). La condition de déclenchement est une condition simple (pas de "ET" ni de "OU" et ne doit impliquer que des éléments à moins de 20m du faément). Un test d'Intelligence avec comme cible le seuil de puissance du sort doit être réussi pour inscrire le faément. En cas d'échec le réceptacle perd 50% de ses charges. Lorsque le faément est terminé, dès que la condition de déclenchement est remplie, le sort est lancé et le faément est détruit.&lt;/div&gt;</v>
      </c>
      <c r="AG95" s="21" t="str">
        <f>IF(ISBLANK(Tableau1[[#This Row],[Nom]]),"",IF(B95&lt;&gt;B94,CONCATENATE("&lt;/div&gt;&lt;div class=""voie ",Tableau1[[#This Row],[Caractéristique]],"""&gt;&lt;h3&gt;",Tableau1[[#This Row],[Voie]],"&lt;/h3&gt;",Tableau1[[#This Row],[HTML_ligne]]),Tableau1[[#This Row],[HTML_ligne]]))</f>
        <v>&lt;/div&gt;&lt;div class="voie Intelligence"&gt;&lt;h3&gt;Faéments&lt;/h3&gt;&lt;h4 class="nom"&gt;Faément mineur&lt;/h4&gt;&lt;span class="apprentissage"&gt;Apprentissage : &lt;span&gt;Intelligence 15&lt;/span&gt;&lt;/span&gt;&lt;p&gt;Exécution : &lt;span&gt;-&lt;/span&gt;&lt;/p&gt;&lt;p&gt;Souffle : &lt;span class="jauge"&gt;-&lt;/span&gt;&lt;/p&gt;&lt;p&gt;Concentration : &lt;span class="jauge"&gt;-&lt;/span&gt;&lt;/p&gt;&lt;div class="effets"&gt;Le personnage charge un sort dans un réceptacle pour que celui-ci soit déclenché lorsque les conditions nécessaires seront remplies.
Pour préparer le faément, le personnage doit au préalable :
&lt;br /&gt;&lt;br /&gt;&lt;ul&gt;
    &lt;li&gt;connaitre le sort qu'il veut inscrire&lt;/li&gt;
    &lt;li&gt;disposer d'un receptacle d'énergie suffisament chargé. La charge nécessaire pour lancer un faément mineur est égal au seuil de puissance du sort x2.&lt;/li&gt;
    &lt;li&gt;avoir un stylet à faéments&lt;/li&gt;
    &lt;li&gt;accéder à une surface dure (metal, roche, bois, ...)&lt;/li&gt;
&lt;/ul&gt;
La préparation du Faément aura pour durée un nombre de temps d'action égal au seuil de puissance du sort. Durant cette préparation, le personnage définit la condition de déclenchement du faément ainsi que ses modalités de déclenchement (direction du projectile, zone d'effet). La condition de déclenchement est une condition simple (pas de "ET" ni de "OU" et ne doit impliquer que des éléments à moins de 20m du faément). Un test d'Intelligence avec comme cible le seuil de puissance du sort doit être réussi pour inscrire le faément. En cas d'échec le réceptacle perd 50% de ses charges. Lorsque le faément est terminé, dès que la condition de déclenchement est remplie, le sort est lancé et le faément est détruit.&lt;/div&gt;</v>
      </c>
    </row>
    <row r="96" spans="2:33" ht="105" x14ac:dyDescent="0.25">
      <c r="B96" s="3" t="s">
        <v>260</v>
      </c>
      <c r="C96" s="10">
        <v>3</v>
      </c>
      <c r="D96" s="3" t="s">
        <v>261</v>
      </c>
      <c r="E96" s="19">
        <f>IFERROR(VLOOKUP(Tableau1[[#This Row],[Niveau]],Tableau2[],2,FALSE),"")</f>
        <v>20</v>
      </c>
      <c r="F96" s="3" t="s">
        <v>127</v>
      </c>
      <c r="N96" s="19" t="b">
        <f>IF(Tableau1[[#This Row],[Niveau]]=0,TRUE,FALSE)</f>
        <v>0</v>
      </c>
      <c r="O96" s="5" t="s">
        <v>262</v>
      </c>
      <c r="R96" s="20" t="str">
        <f>CONCATENATE("&lt;h4 class=""nom""&gt;",Tableau1[[#This Row],[Nom]],"&lt;/h4&gt;")</f>
        <v>&lt;h4 class="nom"&gt;Faément majeur&lt;/h4&gt;</v>
      </c>
      <c r="S96" s="20"/>
      <c r="T96" s="20" t="str">
        <f>IF(Tableau1[[#This Row],[Passif ?]],"&lt;span class=""passive""&gt;Action passive&lt;/span&gt;","")</f>
        <v/>
      </c>
      <c r="U96" s="20" t="str">
        <f>IF(ISBLANK(Tableau1[[#This Row],[Profil]]),"",CONCATENATE("&lt;span class=""profil""&gt;Profil ",Tableau1[[#This Row],[Profil]],"&lt;/span&gt;"))</f>
        <v/>
      </c>
      <c r="V96" s="20" t="str">
        <f>IF(Tableau1[[#This Row],[Innée ?]],"&lt;span class=""innee""&gt;Action innée&lt;/span&gt;","")</f>
        <v/>
      </c>
      <c r="W96" s="20" t="str">
        <f>IF(Tableau1[[#This Row],[Niveau]]&gt;0,CONCATENATE("&lt;span class=""apprentissage""&gt;Apprentissage : &lt;span&gt;",Tableau1[[#This Row],[Caractéristique]], " ",Tableau1[[#This Row],[Apprentissage]],"&lt;/span&gt;&lt;/span&gt;"),"")</f>
        <v>&lt;span class="apprentissage"&gt;Apprentissage : &lt;span&gt;Intelligence 20&lt;/span&gt;&lt;/span&gt;</v>
      </c>
      <c r="X96" s="20"/>
      <c r="Y96" s="20" t="str">
        <f>CONCATENATE("&lt;p&gt;Exécution : &lt;span&gt;", IF(Tableau1[[#This Row],[Exécution]]&gt;0,Tableau1[[#This Row],[Exécution]],"-"), "&lt;/span&gt;&lt;/p&gt;")</f>
        <v>&lt;p&gt;Exécution : &lt;span&gt;-&lt;/span&gt;&lt;/p&gt;</v>
      </c>
      <c r="Z96" s="20" t="str">
        <f>CONCATENATE("&lt;p&gt;Souffle : &lt;span class=""jauge""&gt;", IF(Tableau1[[#This Row],[Souffle]]&gt;0,Tableau1[[#This Row],[Souffle]],"-"), "&lt;/span&gt;&lt;/p&gt;")</f>
        <v>&lt;p&gt;Souffle : &lt;span class="jauge"&gt;-&lt;/span&gt;&lt;/p&gt;</v>
      </c>
      <c r="AA96" s="20" t="str">
        <f>CONCATENATE("&lt;p&gt;Concentration : &lt;span class=""jauge""&gt;",IF(Tableau1[[#This Row],[Concentration]]&gt;0,Tableau1[[#This Row],[Concentration]],"-"), "&lt;/span&gt;&lt;/p&gt;")</f>
        <v>&lt;p&gt;Concentration : &lt;span class="jauge"&gt;-&lt;/span&gt;&lt;/p&gt;</v>
      </c>
      <c r="AB96" s="20" t="str">
        <f>IF(Tableau1[[#This Row],[Adrénaline]]&gt;0,CONCATENATE("&lt;p&gt;Adrénaline : &lt;span class=""jauge""&gt;", Tableau1[[#This Row],[Adrénaline]], "&lt;/span&gt;&lt;/p&gt;"),"")</f>
        <v/>
      </c>
      <c r="AC96" s="20"/>
      <c r="AD96" s="20" t="str">
        <f>CONCATENATE("&lt;div class=""effets""&gt;",Tableau1[[#This Row],[Effets]],"&lt;/div&gt;")</f>
        <v>&lt;div class="effets"&gt; Le fonctionnement ets le même que le faément mineur avec les différences suivantes :
&lt;br /&gt;&lt;br /&gt;&lt;ul&gt;
    &lt;li&gt;La charge nécessaire n'est plus le seuil de puissance x2 mais x10&lt;/li&gt;
    &lt;li&gt;La durée de préparation est le seuil de puissance x2&lt;/li&gt;
    &lt;li&gt;Lorsque le sort est déclenché, le faément ne se détruit pas. Au bout d'un tour d'attente, si la condition de déclenchement est de nouveau présente, le sort est déclenché de nouveau.&lt;/li&gt;
&lt;/ul&gt;&lt;/div&gt;</v>
      </c>
      <c r="AE96" s="20"/>
      <c r="AF96" s="20" t="str">
        <f>CONCATENATE(Tableau1[[#This Row],[HTML_prefix]],Tableau1[[#This Row],[HTML_nom]],Tableau1[[#This Row],[HTML_specs_prefix]],Tableau1[[#This Row],[HTML_passif]],Tableau1[[#This Row],[HTML_profil]],Tableau1[[#This Row],[HTML_innée]],Tableau1[[#This Row],[HTML_apprentissage]],Tableau1[[#This Row],[HTML_specs_col]],Tableau1[[#This Row],[HTML_Execution]],Tableau1[[#This Row],[HTML_Souffle]],Tableau1[[#This Row],[HTML_Concentration]],Tableau1[[#This Row],[HTML_Adrénaline]],Tableau1[[#This Row],[HTML_specs_suffix]],Tableau1[[#This Row],[HTML_effets]],Tableau1[[#This Row],[HTML_suffix]])</f>
        <v>&lt;h4 class="nom"&gt;Faément majeur&lt;/h4&gt;&lt;span class="apprentissage"&gt;Apprentissage : &lt;span&gt;Intelligence 20&lt;/span&gt;&lt;/span&gt;&lt;p&gt;Exécution : &lt;span&gt;-&lt;/span&gt;&lt;/p&gt;&lt;p&gt;Souffle : &lt;span class="jauge"&gt;-&lt;/span&gt;&lt;/p&gt;&lt;p&gt;Concentration : &lt;span class="jauge"&gt;-&lt;/span&gt;&lt;/p&gt;&lt;div class="effets"&gt; Le fonctionnement ets le même que le faément mineur avec les différences suivantes :
&lt;br /&gt;&lt;br /&gt;&lt;ul&gt;
    &lt;li&gt;La charge nécessaire n'est plus le seuil de puissance x2 mais x10&lt;/li&gt;
    &lt;li&gt;La durée de préparation est le seuil de puissance x2&lt;/li&gt;
    &lt;li&gt;Lorsque le sort est déclenché, le faément ne se détruit pas. Au bout d'un tour d'attente, si la condition de déclenchement est de nouveau présente, le sort est déclenché de nouveau.&lt;/li&gt;
&lt;/ul&gt;&lt;/div&gt;</v>
      </c>
      <c r="AG96" s="21" t="str">
        <f>IF(ISBLANK(Tableau1[[#This Row],[Nom]]),"",IF(B96&lt;&gt;B95,CONCATENATE("&lt;/div&gt;&lt;div class=""voie ",Tableau1[[#This Row],[Caractéristique]],"""&gt;&lt;h3&gt;",Tableau1[[#This Row],[Voie]],"&lt;/h3&gt;",Tableau1[[#This Row],[HTML_ligne]]),Tableau1[[#This Row],[HTML_ligne]]))</f>
        <v>&lt;h4 class="nom"&gt;Faément majeur&lt;/h4&gt;&lt;span class="apprentissage"&gt;Apprentissage : &lt;span&gt;Intelligence 20&lt;/span&gt;&lt;/span&gt;&lt;p&gt;Exécution : &lt;span&gt;-&lt;/span&gt;&lt;/p&gt;&lt;p&gt;Souffle : &lt;span class="jauge"&gt;-&lt;/span&gt;&lt;/p&gt;&lt;p&gt;Concentration : &lt;span class="jauge"&gt;-&lt;/span&gt;&lt;/p&gt;&lt;div class="effets"&gt; Le fonctionnement ets le même que le faément mineur avec les différences suivantes :
&lt;br /&gt;&lt;br /&gt;&lt;ul&gt;
    &lt;li&gt;La charge nécessaire n'est plus le seuil de puissance x2 mais x10&lt;/li&gt;
    &lt;li&gt;La durée de préparation est le seuil de puissance x2&lt;/li&gt;
    &lt;li&gt;Lorsque le sort est déclenché, le faément ne se détruit pas. Au bout d'un tour d'attente, si la condition de déclenchement est de nouveau présente, le sort est déclenché de nouveau.&lt;/li&gt;
&lt;/ul&gt;&lt;/div&gt;</v>
      </c>
    </row>
    <row r="97" spans="2:33" ht="195" x14ac:dyDescent="0.25">
      <c r="B97" s="3" t="s">
        <v>260</v>
      </c>
      <c r="C97" s="10">
        <v>1</v>
      </c>
      <c r="D97" s="3" t="s">
        <v>263</v>
      </c>
      <c r="E97" s="19">
        <f>IFERROR(VLOOKUP(Tableau1[[#This Row],[Niveau]],Tableau2[],2,FALSE),"")</f>
        <v>10</v>
      </c>
      <c r="F97" s="3" t="s">
        <v>127</v>
      </c>
      <c r="N97" s="19" t="b">
        <f>IF(Tableau1[[#This Row],[Niveau]]=0,TRUE,FALSE)</f>
        <v>0</v>
      </c>
      <c r="O97" s="5" t="s">
        <v>264</v>
      </c>
      <c r="R97" s="20" t="str">
        <f>CONCATENATE("&lt;h4 class=""nom""&gt;",Tableau1[[#This Row],[Nom]],"&lt;/h4&gt;")</f>
        <v>&lt;h4 class="nom"&gt;Chargement&lt;/h4&gt;</v>
      </c>
      <c r="S97" s="20"/>
      <c r="T97" s="20" t="str">
        <f>IF(Tableau1[[#This Row],[Passif ?]],"&lt;span class=""passive""&gt;Action passive&lt;/span&gt;","")</f>
        <v/>
      </c>
      <c r="U97" s="20" t="str">
        <f>IF(ISBLANK(Tableau1[[#This Row],[Profil]]),"",CONCATENATE("&lt;span class=""profil""&gt;Profil ",Tableau1[[#This Row],[Profil]],"&lt;/span&gt;"))</f>
        <v/>
      </c>
      <c r="V97" s="20" t="str">
        <f>IF(Tableau1[[#This Row],[Innée ?]],"&lt;span class=""innee""&gt;Action innée&lt;/span&gt;","")</f>
        <v/>
      </c>
      <c r="W97" s="20" t="str">
        <f>IF(Tableau1[[#This Row],[Niveau]]&gt;0,CONCATENATE("&lt;span class=""apprentissage""&gt;Apprentissage : &lt;span&gt;",Tableau1[[#This Row],[Caractéristique]], " ",Tableau1[[#This Row],[Apprentissage]],"&lt;/span&gt;&lt;/span&gt;"),"")</f>
        <v>&lt;span class="apprentissage"&gt;Apprentissage : &lt;span&gt;Intelligence 10&lt;/span&gt;&lt;/span&gt;</v>
      </c>
      <c r="X97" s="20"/>
      <c r="Y97" s="20" t="str">
        <f>CONCATENATE("&lt;p&gt;Exécution : &lt;span&gt;", IF(Tableau1[[#This Row],[Exécution]]&gt;0,Tableau1[[#This Row],[Exécution]],"-"), "&lt;/span&gt;&lt;/p&gt;")</f>
        <v>&lt;p&gt;Exécution : &lt;span&gt;-&lt;/span&gt;&lt;/p&gt;</v>
      </c>
      <c r="Z97" s="20" t="str">
        <f>CONCATENATE("&lt;p&gt;Souffle : &lt;span class=""jauge""&gt;", IF(Tableau1[[#This Row],[Souffle]]&gt;0,Tableau1[[#This Row],[Souffle]],"-"), "&lt;/span&gt;&lt;/p&gt;")</f>
        <v>&lt;p&gt;Souffle : &lt;span class="jauge"&gt;-&lt;/span&gt;&lt;/p&gt;</v>
      </c>
      <c r="AA97" s="20" t="str">
        <f>CONCATENATE("&lt;p&gt;Concentration : &lt;span class=""jauge""&gt;",IF(Tableau1[[#This Row],[Concentration]]&gt;0,Tableau1[[#This Row],[Concentration]],"-"), "&lt;/span&gt;&lt;/p&gt;")</f>
        <v>&lt;p&gt;Concentration : &lt;span class="jauge"&gt;-&lt;/span&gt;&lt;/p&gt;</v>
      </c>
      <c r="AB97" s="20" t="str">
        <f>IF(Tableau1[[#This Row],[Adrénaline]]&gt;0,CONCATENATE("&lt;p&gt;Adrénaline : &lt;span class=""jauge""&gt;", Tableau1[[#This Row],[Adrénaline]], "&lt;/span&gt;&lt;/p&gt;"),"")</f>
        <v/>
      </c>
      <c r="AC97" s="20"/>
      <c r="AD97" s="20" t="str">
        <f>CONCATENATE("&lt;div class=""effets""&gt;",Tableau1[[#This Row],[Effets]],"&lt;/div&gt;")</f>
        <v>&lt;div class="effets"&gt;Charge un réceptacle d'énergie. Un réceptacle d'énergie est une pierre précieuse.
&lt;br /&gt;&lt;br /&gt;&lt;ul&gt;
&lt;li&gt;1h -&gt; +10 énergie -&gt; test d'&lt;span class="stat"&gt;Intelligence&lt;/span&gt; 20&lt;/li&gt;
&lt;li&gt;1h -&gt; +15 énergie -&gt; test d'&lt;span class="stat"&gt;Intelligence&lt;/span&gt; 25&lt;/li&gt;
&lt;li&gt;1h -&gt; +20 énergie -&gt; test d'&lt;span class="stat"&gt;Intelligence&lt;/span&gt; 30&lt;/li&gt;
&lt;/ul&gt;
En cas d'échec du test, le réceptacle perd 1D10 points d'énergie.&lt;br /&gt;
&lt;ul&gt;
&lt;li&gt;&lt;b&gt;Diamand&lt;/b&gt; : Charge max = 400&lt;/li&gt;
&lt;li&gt;&lt;b&gt;Rubis&lt;/b&gt; : Charge max = 600, test pour charger -5&lt;/li&gt;
&lt;li&gt;&lt;b&gt;Améthyste&lt;/b&gt; : Charge max = 300, test pour charger +2&lt;/li&gt;
&lt;li&gt;&lt;b&gt;Topaze&lt;/b&gt; : Charge max = 200, en cas d'échec de chargement perte seulement 1D6.&lt;/li&gt;
&lt;/ul&gt;&lt;/div&gt;</v>
      </c>
      <c r="AE97" s="20"/>
      <c r="AF97" s="20" t="str">
        <f>CONCATENATE(Tableau1[[#This Row],[HTML_prefix]],Tableau1[[#This Row],[HTML_nom]],Tableau1[[#This Row],[HTML_specs_prefix]],Tableau1[[#This Row],[HTML_passif]],Tableau1[[#This Row],[HTML_profil]],Tableau1[[#This Row],[HTML_innée]],Tableau1[[#This Row],[HTML_apprentissage]],Tableau1[[#This Row],[HTML_specs_col]],Tableau1[[#This Row],[HTML_Execution]],Tableau1[[#This Row],[HTML_Souffle]],Tableau1[[#This Row],[HTML_Concentration]],Tableau1[[#This Row],[HTML_Adrénaline]],Tableau1[[#This Row],[HTML_specs_suffix]],Tableau1[[#This Row],[HTML_effets]],Tableau1[[#This Row],[HTML_suffix]])</f>
        <v>&lt;h4 class="nom"&gt;Chargement&lt;/h4&gt;&lt;span class="apprentissage"&gt;Apprentissage : &lt;span&gt;Intelligence 10&lt;/span&gt;&lt;/span&gt;&lt;p&gt;Exécution : &lt;span&gt;-&lt;/span&gt;&lt;/p&gt;&lt;p&gt;Souffle : &lt;span class="jauge"&gt;-&lt;/span&gt;&lt;/p&gt;&lt;p&gt;Concentration : &lt;span class="jauge"&gt;-&lt;/span&gt;&lt;/p&gt;&lt;div class="effets"&gt;Charge un réceptacle d'énergie. Un réceptacle d'énergie est une pierre précieuse.
&lt;br /&gt;&lt;br /&gt;&lt;ul&gt;
&lt;li&gt;1h -&gt; +10 énergie -&gt; test d'&lt;span class="stat"&gt;Intelligence&lt;/span&gt; 20&lt;/li&gt;
&lt;li&gt;1h -&gt; +15 énergie -&gt; test d'&lt;span class="stat"&gt;Intelligence&lt;/span&gt; 25&lt;/li&gt;
&lt;li&gt;1h -&gt; +20 énergie -&gt; test d'&lt;span class="stat"&gt;Intelligence&lt;/span&gt; 30&lt;/li&gt;
&lt;/ul&gt;
En cas d'échec du test, le réceptacle perd 1D10 points d'énergie.&lt;br /&gt;
&lt;ul&gt;
&lt;li&gt;&lt;b&gt;Diamand&lt;/b&gt; : Charge max = 400&lt;/li&gt;
&lt;li&gt;&lt;b&gt;Rubis&lt;/b&gt; : Charge max = 600, test pour charger -5&lt;/li&gt;
&lt;li&gt;&lt;b&gt;Améthyste&lt;/b&gt; : Charge max = 300, test pour charger +2&lt;/li&gt;
&lt;li&gt;&lt;b&gt;Topaze&lt;/b&gt; : Charge max = 200, en cas d'échec de chargement perte seulement 1D6.&lt;/li&gt;
&lt;/ul&gt;&lt;/div&gt;</v>
      </c>
      <c r="AG97" s="21" t="str">
        <f>IF(ISBLANK(Tableau1[[#This Row],[Nom]]),"",IF(B97&lt;&gt;B96,CONCATENATE("&lt;/div&gt;&lt;div class=""voie ",Tableau1[[#This Row],[Caractéristique]],"""&gt;&lt;h3&gt;",Tableau1[[#This Row],[Voie]],"&lt;/h3&gt;",Tableau1[[#This Row],[HTML_ligne]]),Tableau1[[#This Row],[HTML_ligne]]))</f>
        <v>&lt;h4 class="nom"&gt;Chargement&lt;/h4&gt;&lt;span class="apprentissage"&gt;Apprentissage : &lt;span&gt;Intelligence 10&lt;/span&gt;&lt;/span&gt;&lt;p&gt;Exécution : &lt;span&gt;-&lt;/span&gt;&lt;/p&gt;&lt;p&gt;Souffle : &lt;span class="jauge"&gt;-&lt;/span&gt;&lt;/p&gt;&lt;p&gt;Concentration : &lt;span class="jauge"&gt;-&lt;/span&gt;&lt;/p&gt;&lt;div class="effets"&gt;Charge un réceptacle d'énergie. Un réceptacle d'énergie est une pierre précieuse.
&lt;br /&gt;&lt;br /&gt;&lt;ul&gt;
&lt;li&gt;1h -&gt; +10 énergie -&gt; test d'&lt;span class="stat"&gt;Intelligence&lt;/span&gt; 20&lt;/li&gt;
&lt;li&gt;1h -&gt; +15 énergie -&gt; test d'&lt;span class="stat"&gt;Intelligence&lt;/span&gt; 25&lt;/li&gt;
&lt;li&gt;1h -&gt; +20 énergie -&gt; test d'&lt;span class="stat"&gt;Intelligence&lt;/span&gt; 30&lt;/li&gt;
&lt;/ul&gt;
En cas d'échec du test, le réceptacle perd 1D10 points d'énergie.&lt;br /&gt;
&lt;ul&gt;
&lt;li&gt;&lt;b&gt;Diamand&lt;/b&gt; : Charge max = 400&lt;/li&gt;
&lt;li&gt;&lt;b&gt;Rubis&lt;/b&gt; : Charge max = 600, test pour charger -5&lt;/li&gt;
&lt;li&gt;&lt;b&gt;Améthyste&lt;/b&gt; : Charge max = 300, test pour charger +2&lt;/li&gt;
&lt;li&gt;&lt;b&gt;Topaze&lt;/b&gt; : Charge max = 200, en cas d'échec de chargement perte seulement 1D6.&lt;/li&gt;
&lt;/ul&gt;&lt;/div&gt;</v>
      </c>
    </row>
    <row r="98" spans="2:33" x14ac:dyDescent="0.25">
      <c r="AG98" s="9" t="s">
        <v>64</v>
      </c>
    </row>
  </sheetData>
  <phoneticPr fontId="2" type="noConversion"/>
  <dataValidations count="2">
    <dataValidation type="list" allowBlank="1" showInputMessage="1" showErrorMessage="1" sqref="M2:M97" xr:uid="{00000000-0002-0000-0000-000000000000}">
      <formula1>profils</formula1>
    </dataValidation>
    <dataValidation type="list" allowBlank="1" showInputMessage="1" showErrorMessage="1" sqref="C2:C97" xr:uid="{00000000-0002-0000-0000-000001000000}">
      <formula1>seuil_apprentissage</formula1>
    </dataValidation>
  </dataValidations>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H9"/>
  <sheetViews>
    <sheetView workbookViewId="0">
      <selection activeCell="B5" sqref="B5"/>
    </sheetView>
  </sheetViews>
  <sheetFormatPr baseColWidth="10" defaultRowHeight="15" x14ac:dyDescent="0.25"/>
  <cols>
    <col min="2" max="2" width="12.7109375" customWidth="1"/>
    <col min="3" max="3" width="15.85546875" customWidth="1"/>
  </cols>
  <sheetData>
    <row r="2" spans="2:8" x14ac:dyDescent="0.25">
      <c r="B2" s="2" t="s">
        <v>33</v>
      </c>
      <c r="F2" s="2" t="s">
        <v>34</v>
      </c>
    </row>
    <row r="3" spans="2:8" x14ac:dyDescent="0.25">
      <c r="B3" t="s">
        <v>7</v>
      </c>
      <c r="C3" t="s">
        <v>14</v>
      </c>
      <c r="F3" t="s">
        <v>35</v>
      </c>
      <c r="H3" t="b">
        <v>1</v>
      </c>
    </row>
    <row r="4" spans="2:8" x14ac:dyDescent="0.25">
      <c r="B4">
        <v>0</v>
      </c>
      <c r="C4">
        <v>0</v>
      </c>
    </row>
    <row r="5" spans="2:8" x14ac:dyDescent="0.25">
      <c r="B5">
        <v>1</v>
      </c>
      <c r="C5">
        <v>10</v>
      </c>
      <c r="F5" t="s">
        <v>36</v>
      </c>
    </row>
    <row r="6" spans="2:8" x14ac:dyDescent="0.25">
      <c r="B6">
        <v>2</v>
      </c>
      <c r="C6">
        <v>15</v>
      </c>
      <c r="F6" t="s">
        <v>37</v>
      </c>
    </row>
    <row r="7" spans="2:8" x14ac:dyDescent="0.25">
      <c r="B7">
        <v>3</v>
      </c>
      <c r="C7">
        <v>20</v>
      </c>
      <c r="F7" t="s">
        <v>38</v>
      </c>
    </row>
    <row r="8" spans="2:8" x14ac:dyDescent="0.25">
      <c r="B8">
        <v>4</v>
      </c>
      <c r="C8">
        <v>25</v>
      </c>
    </row>
    <row r="9" spans="2:8" x14ac:dyDescent="0.25">
      <c r="B9">
        <v>5</v>
      </c>
      <c r="C9">
        <v>30</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2</vt:i4>
      </vt:variant>
      <vt:variant>
        <vt:lpstr>Plages nommées</vt:lpstr>
      </vt:variant>
      <vt:variant>
        <vt:i4>2</vt:i4>
      </vt:variant>
    </vt:vector>
  </HeadingPairs>
  <TitlesOfParts>
    <vt:vector size="4" baseType="lpstr">
      <vt:lpstr>Feuil1</vt:lpstr>
      <vt:lpstr>Feuil2</vt:lpstr>
      <vt:lpstr>profils</vt:lpstr>
      <vt:lpstr>seuil_apprentissage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2023-05-01T19:28:34Z</dcterms:modified>
</cp:coreProperties>
</file>